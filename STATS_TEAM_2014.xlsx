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008D55BA-2A14-41AC-B380-43D674C279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<sst xmlns="http://schemas.openxmlformats.org/spreadsheetml/2006/main" count="188" uniqueCount="54">
  <si>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</si>
  <si>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</si>
  <si>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</si>
  <si>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</si>
  <si>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</si>
  <si>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</si>
  <si>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</si>
  <si>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</si>
  <si>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</si>
  <si>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</si>
  <si>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</si>
  <si>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</si>
  <si>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</si>
  <si>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</si>
  <si>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</si>
  <si>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</si>
  <si>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</si>
  <si>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</si>
  <si>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</si>
  <si>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</si>
  <si>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</si>
  <si>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</si>
  <si>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</si>
  <si>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</si>
  <si>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</si>
  <si>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</si>
  <si>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</si>
  <si>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</si>
  <si>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</si>
  <si>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</si>
  <si>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</si>
  <si>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</si>
  <si>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</si>
  <si>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</si>
  <si>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</si>
  <si>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</si>
  <si>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</si>
  <si>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</si>
  <si>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</si>
  <si>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</si>
  <si>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</si>
  <si>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</si>
  <si>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Connecticut Sun</t>
  </si>
  <si>
    <t>Tulsa Shock</t>
  </si>
  <si>
    <t>New York Liberty</t>
  </si>
  <si>
    <t>Seattle Storm</t>
  </si>
  <si>
    <t>Chicago Sky</t>
  </si>
  <si>
    <t>San Antonio Stars</t>
  </si>
  <si>
    <t>Indiana Fever</t>
  </si>
  <si>
    <t>Los Angeles Sparks</t>
  </si>
  <si>
    <t>Washington Mystics</t>
  </si>
  <si>
    <t>Atlanta Dream</t>
  </si>
  <si>
    <t>Minnesota Lynx</t>
  </si>
  <si>
    <t>Phoenix Mercury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</si>
</sst>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53</v>
      </c>
      <c r="B4" s="8">
        <v>28.7</v>
      </c>
      <c r="C4" s="1">
        <v>29</v>
      </c>
      <c r="D4" s="1">
        <v>5</v>
      </c>
      <c r="E4" s="1">
        <v>29</v>
      </c>
      <c r="F4" s="1">
        <v>5</v>
      </c>
      <c r="G4" s="9">
        <v>9.41</v>
      </c>
      <c r="H4" s="9">
        <v>-0.67</v>
      </c>
      <c r="I4" s="9">
        <v>8.74</v>
      </c>
      <c r="J4" s="9">
        <v>107.8</v>
      </c>
      <c r="K4" s="9">
        <v>95.7</v>
      </c>
      <c r="L4" s="9">
        <v>12.1</v>
      </c>
      <c r="M4" s="9">
        <v>76.599999999999994</v>
      </c>
      <c r="N4" s="9">
        <v>0.316</v>
      </c>
      <c r="O4" s="9">
        <v>0.23400000000000001</v>
      </c>
      <c r="P4" s="9">
        <v>0.57399999999999995</v>
      </c>
      <c r="Q4" s="1"/>
      <c r="R4" s="9">
        <v>0.52500000000000002</v>
      </c>
      <c r="S4" s="9">
        <v>15.2</v>
      </c>
      <c r="T4" s="9">
        <v>22.3</v>
      </c>
      <c r="U4" s="9">
        <v>0.25700000000000001</v>
      </c>
      <c r="V4" s="1"/>
      <c r="W4" s="9">
        <v>0.441</v>
      </c>
      <c r="X4" s="9">
        <v>14.8</v>
      </c>
      <c r="Y4" s="9">
        <v>72.5</v>
      </c>
      <c r="Z4" s="9">
        <v>0.17</v>
      </c>
      <c r="AA4" s="5"/>
      <c r="AB4" s="5"/>
      <c r="AC4" s="5">
        <f t="shared" ref="AC4:AQ18" si="0">RANK(B4,B$4:B$18,0)</f>
        <v>1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11</v>
      </c>
      <c r="AJ4" s="5">
        <f t="shared" si="0"/>
        <v>1</v>
      </c>
      <c r="AK4" s="5">
        <f t="shared" si="0"/>
        <v>1</v>
      </c>
      <c r="AL4" s="5">
        <f>RANK(K4,K$4:K$18,1)</f>
        <v>1</v>
      </c>
      <c r="AM4" s="5">
        <f t="shared" si="0"/>
        <v>1</v>
      </c>
      <c r="AN4" s="5">
        <f t="shared" si="0"/>
        <v>4</v>
      </c>
      <c r="AO4" s="5">
        <f t="shared" si="0"/>
        <v>3</v>
      </c>
      <c r="AP4" s="5">
        <f t="shared" si="0"/>
        <v>5</v>
      </c>
      <c r="AQ4" s="5">
        <f t="shared" si="0"/>
        <v>1</v>
      </c>
      <c r="AR4" s="5"/>
      <c r="AS4" s="5">
        <f>RANK(R4,R$4:R$18,0)</f>
        <v>1</v>
      </c>
      <c r="AT4" s="5">
        <f>RANK(S4,S$4:S$18,1)</f>
        <v>4</v>
      </c>
      <c r="AU4" s="5">
        <f>RANK(T4,T$4:T$18,0)</f>
        <v>11</v>
      </c>
      <c r="AV4" s="5">
        <f>RANK(U4,U$4:U$18,0)</f>
        <v>1</v>
      </c>
      <c r="AW4" s="5"/>
      <c r="AX4" s="5">
        <f>RANK(W4,W$4:W$18,1)</f>
        <v>1</v>
      </c>
      <c r="AY4" s="5">
        <f>RANK(X4,X$4:X$18,0)</f>
        <v>9</v>
      </c>
      <c r="AZ4" s="5">
        <f>RANK(Y4,Y$4:Y$18,0)</f>
        <v>6</v>
      </c>
      <c r="BA4" s="5">
        <f>RANK(Z4,Z$4:Z$18,1)</f>
        <v>1</v>
      </c>
    </row>
    <row r="5" spans="1:53" x14ac:dyDescent="0.25">
      <c r="A5" s="6" t="s">
        <v>52</v>
      </c>
      <c r="B5" s="8">
        <v>27.6</v>
      </c>
      <c r="C5" s="1">
        <v>25</v>
      </c>
      <c r="D5" s="1">
        <v>9</v>
      </c>
      <c r="E5" s="1">
        <v>23</v>
      </c>
      <c r="F5" s="1">
        <v>11</v>
      </c>
      <c r="G5" s="9">
        <v>4.47</v>
      </c>
      <c r="H5" s="9">
        <v>-0.14000000000000001</v>
      </c>
      <c r="I5" s="9">
        <v>4.34</v>
      </c>
      <c r="J5" s="9">
        <v>105.6</v>
      </c>
      <c r="K5" s="9">
        <v>99.8</v>
      </c>
      <c r="L5" s="9">
        <v>5.8</v>
      </c>
      <c r="M5" s="9">
        <v>76.5</v>
      </c>
      <c r="N5" s="9">
        <v>0.28100000000000003</v>
      </c>
      <c r="O5" s="9">
        <v>0.16600000000000001</v>
      </c>
      <c r="P5" s="9">
        <v>0.54100000000000004</v>
      </c>
      <c r="Q5" s="1"/>
      <c r="R5" s="9">
        <v>0.495</v>
      </c>
      <c r="S5" s="9">
        <v>14</v>
      </c>
      <c r="T5" s="9">
        <v>25.9</v>
      </c>
      <c r="U5" s="9">
        <v>0.224</v>
      </c>
      <c r="V5" s="1"/>
      <c r="W5" s="9">
        <v>0.46899999999999997</v>
      </c>
      <c r="X5" s="9">
        <v>14.6</v>
      </c>
      <c r="Y5" s="9">
        <v>74.900000000000006</v>
      </c>
      <c r="Z5" s="9">
        <v>0.183</v>
      </c>
      <c r="AA5" s="5"/>
      <c r="AB5" s="5"/>
      <c r="AC5" s="5">
        <f t="shared" ref="AC5:AC18" si="1">RANK(B5,B$4:B$18,0)</f>
        <v>4</v>
      </c>
      <c r="AD5" s="5">
        <f t="shared" ref="AD5:AD18" si="2">RANK(C5,C$4:C$18,0)</f>
        <v>2</v>
      </c>
      <c r="AE5" s="5">
        <f t="shared" ref="AE5:AE18" si="3">RANK(D5,D$4:D$18,1)</f>
        <v>2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5</v>
      </c>
      <c r="AJ5" s="5">
        <f t="shared" ref="AJ5:AJ18" si="7">RANK(I5,I$4:I$18,0)</f>
        <v>2</v>
      </c>
      <c r="AK5" s="5">
        <f t="shared" ref="AK5:AK18" si="8">RANK(J5,J$4:J$18,0)</f>
        <v>2</v>
      </c>
      <c r="AL5" s="5">
        <f t="shared" ref="AL5:AL18" si="9">RANK(K5,K$4:K$18,1)</f>
        <v>6</v>
      </c>
      <c r="AM5" s="5">
        <f t="shared" ref="AM5:AM18" si="10">RANK(L5,L$4:L$18,0)</f>
        <v>2</v>
      </c>
      <c r="AN5" s="5">
        <f t="shared" ref="AN5:AN18" si="11">RANK(M5,M$4:M$18,0)</f>
        <v>6</v>
      </c>
      <c r="AO5" s="5">
        <f t="shared" ref="AO5:AO18" si="12">RANK(N5,N$4:N$18,0)</f>
        <v>7</v>
      </c>
      <c r="AP5" s="5">
        <f t="shared" ref="AP5:AP18" si="13">RANK(O5,O$4:O$18,0)</f>
        <v>9</v>
      </c>
      <c r="AQ5" s="5">
        <f t="shared" ref="AQ5:AQ18" si="14">RANK(P5,P$4:P$18,0)</f>
        <v>2</v>
      </c>
      <c r="AR5" s="5"/>
      <c r="AS5" s="5">
        <f t="shared" ref="AS5:AU11" si="15">RANK(R5,R$4:R$18,0)</f>
        <v>2</v>
      </c>
      <c r="AT5" s="5">
        <f t="shared" ref="AT5:AT18" si="16">RANK(S5,S$4:S$18,1)</f>
        <v>1</v>
      </c>
      <c r="AU5" s="5">
        <f t="shared" si="15"/>
        <v>8</v>
      </c>
      <c r="AV5" s="5">
        <f t="shared" ref="AV5:AV18" si="17">RANK(U5,U$4:U$18,0)</f>
        <v>5</v>
      </c>
      <c r="AW5" s="5"/>
      <c r="AX5" s="5">
        <f t="shared" ref="AX5:AX18" si="18">RANK(W5,W$4:W$18,1)</f>
        <v>6</v>
      </c>
      <c r="AY5" s="5">
        <f t="shared" ref="AY5:AZ18" si="19">RANK(X5,X$4:X$18,0)</f>
        <v>10</v>
      </c>
      <c r="AZ5" s="5">
        <f t="shared" si="19"/>
        <v>1</v>
      </c>
      <c r="BA5" s="5">
        <f t="shared" ref="BA5:BA18" si="20">RANK(Z5,Z$4:Z$18,1)</f>
        <v>2</v>
      </c>
    </row>
    <row r="6" spans="1:53" x14ac:dyDescent="0.25">
      <c r="A6" s="6" t="s">
        <v>51</v>
      </c>
      <c r="B6" s="8">
        <v>27.5</v>
      </c>
      <c r="C6" s="1">
        <v>19</v>
      </c>
      <c r="D6" s="1">
        <v>15</v>
      </c>
      <c r="E6" s="1">
        <v>20</v>
      </c>
      <c r="F6" s="1">
        <v>14</v>
      </c>
      <c r="G6" s="9">
        <v>2.06</v>
      </c>
      <c r="H6" s="9">
        <v>-0.71</v>
      </c>
      <c r="I6" s="9">
        <v>1.35</v>
      </c>
      <c r="J6" s="9">
        <v>99</v>
      </c>
      <c r="K6" s="9">
        <v>96.5</v>
      </c>
      <c r="L6" s="9">
        <v>2.5</v>
      </c>
      <c r="M6" s="9">
        <v>79.3</v>
      </c>
      <c r="N6" s="9">
        <v>0.28999999999999998</v>
      </c>
      <c r="O6" s="9">
        <v>0.21</v>
      </c>
      <c r="P6" s="9">
        <v>0.50600000000000001</v>
      </c>
      <c r="Q6" s="1"/>
      <c r="R6" s="9">
        <v>0.46400000000000002</v>
      </c>
      <c r="S6" s="9">
        <v>16.8</v>
      </c>
      <c r="T6" s="9">
        <v>32.299999999999997</v>
      </c>
      <c r="U6" s="9">
        <v>0.21299999999999999</v>
      </c>
      <c r="V6" s="1"/>
      <c r="W6" s="9">
        <v>0.46600000000000003</v>
      </c>
      <c r="X6" s="9">
        <v>18.3</v>
      </c>
      <c r="Y6" s="9">
        <v>72.900000000000006</v>
      </c>
      <c r="Z6" s="9">
        <v>0.22700000000000001</v>
      </c>
      <c r="AA6" s="5"/>
      <c r="AB6" s="5"/>
      <c r="AC6" s="5">
        <f t="shared" si="1"/>
        <v>5</v>
      </c>
      <c r="AD6" s="5">
        <f t="shared" si="2"/>
        <v>3</v>
      </c>
      <c r="AE6" s="5">
        <f t="shared" si="3"/>
        <v>3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12</v>
      </c>
      <c r="AJ6" s="5">
        <f t="shared" si="7"/>
        <v>3</v>
      </c>
      <c r="AK6" s="5">
        <f t="shared" si="8"/>
        <v>6</v>
      </c>
      <c r="AL6" s="5">
        <f t="shared" si="9"/>
        <v>2</v>
      </c>
      <c r="AM6" s="5">
        <f t="shared" si="10"/>
        <v>3</v>
      </c>
      <c r="AN6" s="5">
        <f t="shared" si="11"/>
        <v>1</v>
      </c>
      <c r="AO6" s="5">
        <f t="shared" si="12"/>
        <v>4</v>
      </c>
      <c r="AP6" s="5">
        <f t="shared" si="13"/>
        <v>7</v>
      </c>
      <c r="AQ6" s="5">
        <f t="shared" si="14"/>
        <v>10</v>
      </c>
      <c r="AR6" s="5"/>
      <c r="AS6" s="5">
        <f t="shared" si="15"/>
        <v>8</v>
      </c>
      <c r="AT6" s="5">
        <f t="shared" si="16"/>
        <v>9</v>
      </c>
      <c r="AU6" s="5">
        <f t="shared" si="15"/>
        <v>2</v>
      </c>
      <c r="AV6" s="5">
        <f t="shared" si="17"/>
        <v>6</v>
      </c>
      <c r="AW6" s="5"/>
      <c r="AX6" s="5">
        <f t="shared" si="18"/>
        <v>5</v>
      </c>
      <c r="AY6" s="5">
        <f t="shared" si="19"/>
        <v>1</v>
      </c>
      <c r="AZ6" s="5">
        <f t="shared" si="19"/>
        <v>4</v>
      </c>
      <c r="BA6" s="5">
        <f t="shared" si="20"/>
        <v>9</v>
      </c>
    </row>
    <row r="7" spans="1:53" x14ac:dyDescent="0.25">
      <c r="A7" s="6" t="s">
        <v>50</v>
      </c>
      <c r="B7" s="8">
        <v>25.6</v>
      </c>
      <c r="C7" s="1">
        <v>16</v>
      </c>
      <c r="D7" s="1">
        <v>18</v>
      </c>
      <c r="E7" s="1">
        <v>18</v>
      </c>
      <c r="F7" s="1">
        <v>16</v>
      </c>
      <c r="G7" s="9">
        <v>0.44</v>
      </c>
      <c r="H7" s="9">
        <v>-0.59</v>
      </c>
      <c r="I7" s="9">
        <v>-0.15</v>
      </c>
      <c r="J7" s="9">
        <v>97.9</v>
      </c>
      <c r="K7" s="9">
        <v>97.3</v>
      </c>
      <c r="L7" s="9">
        <v>0.6</v>
      </c>
      <c r="M7" s="9">
        <v>73.900000000000006</v>
      </c>
      <c r="N7" s="9">
        <v>0.25900000000000001</v>
      </c>
      <c r="O7" s="9">
        <v>0.253</v>
      </c>
      <c r="P7" s="9">
        <v>0.51</v>
      </c>
      <c r="Q7" s="1"/>
      <c r="R7" s="9">
        <v>0.46500000000000002</v>
      </c>
      <c r="S7" s="9">
        <v>17.5</v>
      </c>
      <c r="T7" s="9">
        <v>29.2</v>
      </c>
      <c r="U7" s="9">
        <v>0.20699999999999999</v>
      </c>
      <c r="V7" s="1"/>
      <c r="W7" s="9">
        <v>0.443</v>
      </c>
      <c r="X7" s="9">
        <v>14.2</v>
      </c>
      <c r="Y7" s="9">
        <v>71.3</v>
      </c>
      <c r="Z7" s="9">
        <v>0.193</v>
      </c>
      <c r="AA7" s="5"/>
      <c r="AB7" s="5"/>
      <c r="AC7" s="5">
        <f t="shared" si="1"/>
        <v>9</v>
      </c>
      <c r="AD7" s="5">
        <f t="shared" si="2"/>
        <v>4</v>
      </c>
      <c r="AE7" s="5">
        <f t="shared" si="3"/>
        <v>4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10</v>
      </c>
      <c r="AJ7" s="5">
        <f t="shared" si="7"/>
        <v>5</v>
      </c>
      <c r="AK7" s="5">
        <f t="shared" si="8"/>
        <v>9</v>
      </c>
      <c r="AL7" s="5">
        <f t="shared" si="9"/>
        <v>3</v>
      </c>
      <c r="AM7" s="5">
        <f t="shared" si="10"/>
        <v>4</v>
      </c>
      <c r="AN7" s="5">
        <f t="shared" si="11"/>
        <v>10</v>
      </c>
      <c r="AO7" s="5">
        <f t="shared" si="12"/>
        <v>9</v>
      </c>
      <c r="AP7" s="5">
        <f t="shared" si="13"/>
        <v>4</v>
      </c>
      <c r="AQ7" s="5">
        <f t="shared" si="14"/>
        <v>8</v>
      </c>
      <c r="AR7" s="5"/>
      <c r="AS7" s="5">
        <f t="shared" si="15"/>
        <v>7</v>
      </c>
      <c r="AT7" s="5">
        <f t="shared" si="16"/>
        <v>11</v>
      </c>
      <c r="AU7" s="5">
        <f t="shared" si="15"/>
        <v>5</v>
      </c>
      <c r="AV7" s="5">
        <f t="shared" si="17"/>
        <v>8</v>
      </c>
      <c r="AW7" s="5"/>
      <c r="AX7" s="5">
        <f t="shared" si="18"/>
        <v>2</v>
      </c>
      <c r="AY7" s="5">
        <f t="shared" si="19"/>
        <v>12</v>
      </c>
      <c r="AZ7" s="5">
        <f t="shared" si="19"/>
        <v>9</v>
      </c>
      <c r="BA7" s="5">
        <f t="shared" si="20"/>
        <v>3</v>
      </c>
    </row>
    <row r="8" spans="1:53" x14ac:dyDescent="0.25">
      <c r="A8" s="6" t="s">
        <v>49</v>
      </c>
      <c r="B8" s="8">
        <v>27.4</v>
      </c>
      <c r="C8" s="1">
        <v>16</v>
      </c>
      <c r="D8" s="1">
        <v>18</v>
      </c>
      <c r="E8" s="1">
        <v>17</v>
      </c>
      <c r="F8" s="1">
        <v>17</v>
      </c>
      <c r="G8" s="9">
        <v>-0.21</v>
      </c>
      <c r="H8" s="9">
        <v>0.56999999999999995</v>
      </c>
      <c r="I8" s="9">
        <v>0.36</v>
      </c>
      <c r="J8" s="9">
        <v>99.1</v>
      </c>
      <c r="K8" s="9">
        <v>99.4</v>
      </c>
      <c r="L8" s="9">
        <v>-0.3</v>
      </c>
      <c r="M8" s="9">
        <v>76.7</v>
      </c>
      <c r="N8" s="9">
        <v>0.251</v>
      </c>
      <c r="O8" s="9">
        <v>0.124</v>
      </c>
      <c r="P8" s="9">
        <v>0.51900000000000002</v>
      </c>
      <c r="Q8" s="1"/>
      <c r="R8" s="9">
        <v>0.47699999999999998</v>
      </c>
      <c r="S8" s="9">
        <v>16.3</v>
      </c>
      <c r="T8" s="9">
        <v>26.3</v>
      </c>
      <c r="U8" s="9">
        <v>0.2</v>
      </c>
      <c r="V8" s="1"/>
      <c r="W8" s="9">
        <v>0.48499999999999999</v>
      </c>
      <c r="X8" s="9">
        <v>18</v>
      </c>
      <c r="Y8" s="9">
        <v>72.5</v>
      </c>
      <c r="Z8" s="9">
        <v>0.21</v>
      </c>
      <c r="AA8" s="5"/>
      <c r="AB8" s="5"/>
      <c r="AC8" s="5">
        <f t="shared" si="1"/>
        <v>6</v>
      </c>
      <c r="AD8" s="5">
        <f t="shared" si="2"/>
        <v>4</v>
      </c>
      <c r="AE8" s="5">
        <f t="shared" si="3"/>
        <v>4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4</v>
      </c>
      <c r="AJ8" s="5">
        <f t="shared" si="7"/>
        <v>4</v>
      </c>
      <c r="AK8" s="5">
        <f t="shared" si="8"/>
        <v>5</v>
      </c>
      <c r="AL8" s="5">
        <f t="shared" si="9"/>
        <v>5</v>
      </c>
      <c r="AM8" s="5">
        <f t="shared" si="10"/>
        <v>5</v>
      </c>
      <c r="AN8" s="5">
        <f t="shared" si="11"/>
        <v>2</v>
      </c>
      <c r="AO8" s="5">
        <f t="shared" si="12"/>
        <v>11</v>
      </c>
      <c r="AP8" s="5">
        <f t="shared" si="13"/>
        <v>12</v>
      </c>
      <c r="AQ8" s="5">
        <f t="shared" si="14"/>
        <v>5</v>
      </c>
      <c r="AR8" s="5"/>
      <c r="AS8" s="5">
        <f t="shared" si="15"/>
        <v>5</v>
      </c>
      <c r="AT8" s="5">
        <f t="shared" si="16"/>
        <v>7</v>
      </c>
      <c r="AU8" s="5">
        <f t="shared" si="15"/>
        <v>7</v>
      </c>
      <c r="AV8" s="5">
        <f t="shared" si="17"/>
        <v>10</v>
      </c>
      <c r="AW8" s="5"/>
      <c r="AX8" s="5">
        <f t="shared" si="18"/>
        <v>9</v>
      </c>
      <c r="AY8" s="5">
        <f t="shared" si="19"/>
        <v>2</v>
      </c>
      <c r="AZ8" s="5">
        <f t="shared" si="19"/>
        <v>6</v>
      </c>
      <c r="BA8" s="5">
        <f t="shared" si="20"/>
        <v>5</v>
      </c>
    </row>
    <row r="9" spans="1:53" x14ac:dyDescent="0.25">
      <c r="A9" s="6" t="s">
        <v>48</v>
      </c>
      <c r="B9" s="8">
        <v>26</v>
      </c>
      <c r="C9" s="1">
        <v>16</v>
      </c>
      <c r="D9" s="1">
        <v>18</v>
      </c>
      <c r="E9" s="1">
        <v>15</v>
      </c>
      <c r="F9" s="1">
        <v>19</v>
      </c>
      <c r="G9" s="9">
        <v>-0.97</v>
      </c>
      <c r="H9" s="9">
        <v>-0.32</v>
      </c>
      <c r="I9" s="9">
        <v>-1.29</v>
      </c>
      <c r="J9" s="9">
        <v>99</v>
      </c>
      <c r="K9" s="9">
        <v>100.3</v>
      </c>
      <c r="L9" s="9">
        <v>-1.3</v>
      </c>
      <c r="M9" s="9">
        <v>73.8</v>
      </c>
      <c r="N9" s="9">
        <v>0.32500000000000001</v>
      </c>
      <c r="O9" s="9">
        <v>0.23300000000000001</v>
      </c>
      <c r="P9" s="9">
        <v>0.50900000000000001</v>
      </c>
      <c r="Q9" s="1"/>
      <c r="R9" s="9">
        <v>0.45900000000000002</v>
      </c>
      <c r="S9" s="9">
        <v>16.899999999999999</v>
      </c>
      <c r="T9" s="9">
        <v>30.5</v>
      </c>
      <c r="U9" s="9">
        <v>0.245</v>
      </c>
      <c r="V9" s="1"/>
      <c r="W9" s="9">
        <v>0.47299999999999998</v>
      </c>
      <c r="X9" s="9">
        <v>17.7</v>
      </c>
      <c r="Y9" s="9">
        <v>71.900000000000006</v>
      </c>
      <c r="Z9" s="9">
        <v>0.28000000000000003</v>
      </c>
      <c r="AA9" s="5"/>
      <c r="AB9" s="5"/>
      <c r="AC9" s="5">
        <f t="shared" si="1"/>
        <v>8</v>
      </c>
      <c r="AD9" s="5">
        <f t="shared" si="2"/>
        <v>4</v>
      </c>
      <c r="AE9" s="5">
        <f t="shared" si="3"/>
        <v>4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9</v>
      </c>
      <c r="AJ9" s="5">
        <f t="shared" si="7"/>
        <v>7</v>
      </c>
      <c r="AK9" s="5">
        <f t="shared" si="8"/>
        <v>6</v>
      </c>
      <c r="AL9" s="5">
        <f t="shared" si="9"/>
        <v>8</v>
      </c>
      <c r="AM9" s="5">
        <f t="shared" si="10"/>
        <v>6</v>
      </c>
      <c r="AN9" s="5">
        <f t="shared" si="11"/>
        <v>11</v>
      </c>
      <c r="AO9" s="5">
        <f t="shared" si="12"/>
        <v>1</v>
      </c>
      <c r="AP9" s="5">
        <f t="shared" si="13"/>
        <v>6</v>
      </c>
      <c r="AQ9" s="5">
        <f t="shared" si="14"/>
        <v>9</v>
      </c>
      <c r="AR9" s="5"/>
      <c r="AS9" s="5">
        <f t="shared" si="15"/>
        <v>10</v>
      </c>
      <c r="AT9" s="5">
        <f t="shared" si="16"/>
        <v>10</v>
      </c>
      <c r="AU9" s="5">
        <f t="shared" si="15"/>
        <v>4</v>
      </c>
      <c r="AV9" s="5">
        <f t="shared" si="17"/>
        <v>3</v>
      </c>
      <c r="AW9" s="5"/>
      <c r="AX9" s="5">
        <f t="shared" si="18"/>
        <v>7</v>
      </c>
      <c r="AY9" s="5">
        <f t="shared" si="19"/>
        <v>3</v>
      </c>
      <c r="AZ9" s="5">
        <f t="shared" si="19"/>
        <v>8</v>
      </c>
      <c r="BA9" s="5">
        <f t="shared" si="20"/>
        <v>12</v>
      </c>
    </row>
    <row r="10" spans="1:53" x14ac:dyDescent="0.25">
      <c r="A10" s="6" t="s">
        <v>42</v>
      </c>
      <c r="B10" s="8">
        <v>25.4</v>
      </c>
      <c r="C10" s="1">
        <v>13</v>
      </c>
      <c r="D10" s="1">
        <v>21</v>
      </c>
      <c r="E10" s="1">
        <v>14</v>
      </c>
      <c r="F10" s="1">
        <v>20</v>
      </c>
      <c r="G10" s="9">
        <v>-1.82</v>
      </c>
      <c r="H10" s="9">
        <v>-0.3</v>
      </c>
      <c r="I10" s="9">
        <v>-2.12</v>
      </c>
      <c r="J10" s="9">
        <v>97.9</v>
      </c>
      <c r="K10" s="9">
        <v>100.2</v>
      </c>
      <c r="L10" s="9">
        <v>-2.2999999999999998</v>
      </c>
      <c r="M10" s="9">
        <v>76.5</v>
      </c>
      <c r="N10" s="9">
        <v>0.255</v>
      </c>
      <c r="O10" s="9">
        <v>0.19700000000000001</v>
      </c>
      <c r="P10" s="9">
        <v>0.48599999999999999</v>
      </c>
      <c r="Q10" s="1"/>
      <c r="R10" s="9">
        <v>0.44600000000000001</v>
      </c>
      <c r="S10" s="9">
        <v>15.9</v>
      </c>
      <c r="T10" s="9">
        <v>32.5</v>
      </c>
      <c r="U10" s="9">
        <v>0.189</v>
      </c>
      <c r="V10" s="1"/>
      <c r="W10" s="9">
        <v>0.47399999999999998</v>
      </c>
      <c r="X10" s="9">
        <v>17.5</v>
      </c>
      <c r="Y10" s="9">
        <v>70.5</v>
      </c>
      <c r="Z10" s="9">
        <v>0.252</v>
      </c>
      <c r="AA10" s="5"/>
      <c r="AB10" s="5"/>
      <c r="AC10" s="5">
        <f t="shared" si="1"/>
        <v>10</v>
      </c>
      <c r="AD10" s="5">
        <f t="shared" si="2"/>
        <v>10</v>
      </c>
      <c r="AE10" s="5">
        <f t="shared" si="3"/>
        <v>10</v>
      </c>
      <c r="AF10" s="5">
        <f t="shared" si="0"/>
        <v>7</v>
      </c>
      <c r="AG10" s="5">
        <f t="shared" si="4"/>
        <v>7</v>
      </c>
      <c r="AH10" s="5">
        <f t="shared" si="5"/>
        <v>8</v>
      </c>
      <c r="AI10" s="5">
        <f t="shared" si="6"/>
        <v>8</v>
      </c>
      <c r="AJ10" s="5">
        <f t="shared" si="7"/>
        <v>9</v>
      </c>
      <c r="AK10" s="5">
        <f t="shared" si="8"/>
        <v>9</v>
      </c>
      <c r="AL10" s="5">
        <f t="shared" si="9"/>
        <v>7</v>
      </c>
      <c r="AM10" s="5">
        <f t="shared" si="10"/>
        <v>7</v>
      </c>
      <c r="AN10" s="5">
        <f t="shared" si="11"/>
        <v>6</v>
      </c>
      <c r="AO10" s="5">
        <f t="shared" si="12"/>
        <v>10</v>
      </c>
      <c r="AP10" s="5">
        <f t="shared" si="13"/>
        <v>8</v>
      </c>
      <c r="AQ10" s="5">
        <f t="shared" si="14"/>
        <v>12</v>
      </c>
      <c r="AR10" s="5"/>
      <c r="AS10" s="5">
        <f t="shared" si="15"/>
        <v>11</v>
      </c>
      <c r="AT10" s="5">
        <f t="shared" si="16"/>
        <v>5</v>
      </c>
      <c r="AU10" s="5">
        <f t="shared" si="15"/>
        <v>1</v>
      </c>
      <c r="AV10" s="5">
        <f t="shared" si="17"/>
        <v>12</v>
      </c>
      <c r="AW10" s="5"/>
      <c r="AX10" s="5">
        <f t="shared" si="18"/>
        <v>8</v>
      </c>
      <c r="AY10" s="5">
        <f t="shared" si="19"/>
        <v>4</v>
      </c>
      <c r="AZ10" s="5">
        <f t="shared" si="19"/>
        <v>11</v>
      </c>
      <c r="BA10" s="5">
        <f t="shared" si="20"/>
        <v>10</v>
      </c>
    </row>
    <row r="11" spans="1:53" x14ac:dyDescent="0.25">
      <c r="A11" s="6" t="s">
        <v>47</v>
      </c>
      <c r="B11" s="8">
        <v>27.3</v>
      </c>
      <c r="C11" s="1">
        <v>16</v>
      </c>
      <c r="D11" s="1">
        <v>18</v>
      </c>
      <c r="E11" s="1">
        <v>14</v>
      </c>
      <c r="F11" s="1">
        <v>20</v>
      </c>
      <c r="G11" s="9">
        <v>-1.76</v>
      </c>
      <c r="H11" s="9">
        <v>0.67</v>
      </c>
      <c r="I11" s="9">
        <v>-1.1000000000000001</v>
      </c>
      <c r="J11" s="9">
        <v>102.3</v>
      </c>
      <c r="K11" s="9">
        <v>104.6</v>
      </c>
      <c r="L11" s="9">
        <v>-2.2999999999999998</v>
      </c>
      <c r="M11" s="9">
        <v>74.900000000000006</v>
      </c>
      <c r="N11" s="9">
        <v>0.23799999999999999</v>
      </c>
      <c r="O11" s="9">
        <v>0.27500000000000002</v>
      </c>
      <c r="P11" s="9">
        <v>0.52200000000000002</v>
      </c>
      <c r="Q11" s="1"/>
      <c r="R11" s="9">
        <v>0.47899999999999998</v>
      </c>
      <c r="S11" s="9">
        <v>14.5</v>
      </c>
      <c r="T11" s="9">
        <v>25.4</v>
      </c>
      <c r="U11" s="9">
        <v>0.19600000000000001</v>
      </c>
      <c r="V11" s="1"/>
      <c r="W11" s="9">
        <v>0.50700000000000001</v>
      </c>
      <c r="X11" s="9">
        <v>16.2</v>
      </c>
      <c r="Y11" s="9">
        <v>73.3</v>
      </c>
      <c r="Z11" s="9">
        <v>0.21299999999999999</v>
      </c>
      <c r="AA11" s="5"/>
      <c r="AB11" s="5"/>
      <c r="AC11" s="5">
        <f t="shared" si="1"/>
        <v>7</v>
      </c>
      <c r="AD11" s="5">
        <f t="shared" si="2"/>
        <v>4</v>
      </c>
      <c r="AE11" s="5">
        <f t="shared" si="3"/>
        <v>4</v>
      </c>
      <c r="AF11" s="5">
        <f t="shared" si="0"/>
        <v>7</v>
      </c>
      <c r="AG11" s="5">
        <f t="shared" si="4"/>
        <v>7</v>
      </c>
      <c r="AH11" s="5">
        <f t="shared" si="5"/>
        <v>7</v>
      </c>
      <c r="AI11" s="5">
        <f t="shared" si="6"/>
        <v>3</v>
      </c>
      <c r="AJ11" s="5">
        <f t="shared" si="7"/>
        <v>6</v>
      </c>
      <c r="AK11" s="5">
        <f t="shared" si="8"/>
        <v>4</v>
      </c>
      <c r="AL11" s="5">
        <f t="shared" si="9"/>
        <v>11</v>
      </c>
      <c r="AM11" s="5">
        <f t="shared" si="10"/>
        <v>7</v>
      </c>
      <c r="AN11" s="5">
        <f t="shared" si="11"/>
        <v>9</v>
      </c>
      <c r="AO11" s="5">
        <f t="shared" si="12"/>
        <v>12</v>
      </c>
      <c r="AP11" s="5">
        <f t="shared" si="13"/>
        <v>2</v>
      </c>
      <c r="AQ11" s="5">
        <f t="shared" si="14"/>
        <v>4</v>
      </c>
      <c r="AR11" s="5"/>
      <c r="AS11" s="5">
        <f t="shared" si="15"/>
        <v>4</v>
      </c>
      <c r="AT11" s="5">
        <f t="shared" si="16"/>
        <v>2</v>
      </c>
      <c r="AU11" s="5">
        <f t="shared" si="15"/>
        <v>10</v>
      </c>
      <c r="AV11" s="5">
        <f t="shared" si="17"/>
        <v>11</v>
      </c>
      <c r="AW11" s="5"/>
      <c r="AX11" s="5">
        <f t="shared" si="18"/>
        <v>12</v>
      </c>
      <c r="AY11" s="5">
        <f t="shared" si="19"/>
        <v>5</v>
      </c>
      <c r="AZ11" s="5">
        <f t="shared" si="19"/>
        <v>3</v>
      </c>
      <c r="BA11" s="5">
        <f t="shared" si="20"/>
        <v>6</v>
      </c>
    </row>
    <row r="12" spans="1:53" x14ac:dyDescent="0.25">
      <c r="A12" s="6" t="s">
        <v>46</v>
      </c>
      <c r="B12" s="8">
        <v>25.4</v>
      </c>
      <c r="C12" s="1">
        <v>15</v>
      </c>
      <c r="D12" s="1">
        <v>19</v>
      </c>
      <c r="E12" s="1">
        <v>14</v>
      </c>
      <c r="F12" s="1">
        <v>20</v>
      </c>
      <c r="G12" s="9">
        <v>-2.0299999999999998</v>
      </c>
      <c r="H12" s="9">
        <v>-0.19</v>
      </c>
      <c r="I12" s="9">
        <v>-2.2200000000000002</v>
      </c>
      <c r="J12" s="9">
        <v>98.2</v>
      </c>
      <c r="K12" s="9">
        <v>100.8</v>
      </c>
      <c r="L12" s="9">
        <v>-2.6</v>
      </c>
      <c r="M12" s="9">
        <v>76.7</v>
      </c>
      <c r="N12" s="9">
        <v>0.28899999999999998</v>
      </c>
      <c r="O12" s="9">
        <v>0.159</v>
      </c>
      <c r="P12" s="9">
        <v>0.51200000000000001</v>
      </c>
      <c r="Q12" s="1"/>
      <c r="R12" s="9">
        <v>0.46</v>
      </c>
      <c r="S12" s="9">
        <v>16.2</v>
      </c>
      <c r="T12" s="9">
        <v>25.8</v>
      </c>
      <c r="U12" s="9">
        <v>0.23400000000000001</v>
      </c>
      <c r="V12" s="1"/>
      <c r="W12" s="9">
        <v>0.45300000000000001</v>
      </c>
      <c r="X12" s="9">
        <v>14.5</v>
      </c>
      <c r="Y12" s="9">
        <v>69.5</v>
      </c>
      <c r="Z12" s="9">
        <v>0.219</v>
      </c>
      <c r="AA12" s="5"/>
      <c r="AB12" s="5"/>
      <c r="AC12" s="5">
        <f t="shared" si="1"/>
        <v>10</v>
      </c>
      <c r="AD12" s="5">
        <f t="shared" si="2"/>
        <v>8</v>
      </c>
      <c r="AE12" s="5">
        <f t="shared" si="3"/>
        <v>8</v>
      </c>
      <c r="AF12" s="5">
        <f t="shared" si="0"/>
        <v>7</v>
      </c>
      <c r="AG12" s="5">
        <f t="shared" si="4"/>
        <v>7</v>
      </c>
      <c r="AH12" s="5">
        <f t="shared" si="5"/>
        <v>9</v>
      </c>
      <c r="AI12" s="5">
        <f t="shared" si="6"/>
        <v>7</v>
      </c>
      <c r="AJ12" s="5">
        <f t="shared" si="7"/>
        <v>10</v>
      </c>
      <c r="AK12" s="5">
        <f t="shared" si="8"/>
        <v>8</v>
      </c>
      <c r="AL12" s="5">
        <f t="shared" si="9"/>
        <v>9</v>
      </c>
      <c r="AM12" s="5">
        <f t="shared" si="10"/>
        <v>9</v>
      </c>
      <c r="AN12" s="5">
        <f t="shared" si="11"/>
        <v>2</v>
      </c>
      <c r="AO12" s="5">
        <f t="shared" si="12"/>
        <v>5</v>
      </c>
      <c r="AP12" s="5">
        <f t="shared" si="13"/>
        <v>10</v>
      </c>
      <c r="AQ12" s="5">
        <f t="shared" si="14"/>
        <v>7</v>
      </c>
      <c r="AR12" s="5"/>
      <c r="AS12" s="5">
        <f t="shared" ref="AS12:AS18" si="21">RANK(R12,R$4:R$18,0)</f>
        <v>9</v>
      </c>
      <c r="AT12" s="5">
        <f t="shared" si="16"/>
        <v>6</v>
      </c>
      <c r="AU12" s="5">
        <f t="shared" ref="AU12:AU18" si="22">RANK(T12,T$4:T$18,0)</f>
        <v>9</v>
      </c>
      <c r="AV12" s="5">
        <f t="shared" si="17"/>
        <v>4</v>
      </c>
      <c r="AW12" s="5"/>
      <c r="AX12" s="5">
        <f t="shared" si="18"/>
        <v>3</v>
      </c>
      <c r="AY12" s="5">
        <f t="shared" si="19"/>
        <v>11</v>
      </c>
      <c r="AZ12" s="5">
        <f t="shared" si="19"/>
        <v>12</v>
      </c>
      <c r="BA12" s="5">
        <f t="shared" si="20"/>
        <v>8</v>
      </c>
    </row>
    <row r="13" spans="1:53" x14ac:dyDescent="0.25">
      <c r="A13" s="6" t="s">
        <v>43</v>
      </c>
      <c r="B13" s="8">
        <v>24.4</v>
      </c>
      <c r="C13" s="1">
        <v>12</v>
      </c>
      <c r="D13" s="1">
        <v>22</v>
      </c>
      <c r="E13" s="1">
        <v>14</v>
      </c>
      <c r="F13" s="1">
        <v>20</v>
      </c>
      <c r="G13" s="9">
        <v>-2.09</v>
      </c>
      <c r="H13" s="9">
        <v>0.71</v>
      </c>
      <c r="I13" s="9">
        <v>-1.38</v>
      </c>
      <c r="J13" s="9">
        <v>104.8</v>
      </c>
      <c r="K13" s="9">
        <v>107.5</v>
      </c>
      <c r="L13" s="9">
        <v>-2.7</v>
      </c>
      <c r="M13" s="9">
        <v>76.599999999999994</v>
      </c>
      <c r="N13" s="9">
        <v>0.32100000000000001</v>
      </c>
      <c r="O13" s="9">
        <v>0.25700000000000001</v>
      </c>
      <c r="P13" s="9">
        <v>0.51600000000000001</v>
      </c>
      <c r="Q13" s="1"/>
      <c r="R13" s="9">
        <v>0.46600000000000003</v>
      </c>
      <c r="S13" s="9">
        <v>14.8</v>
      </c>
      <c r="T13" s="9">
        <v>32.299999999999997</v>
      </c>
      <c r="U13" s="9">
        <v>0.246</v>
      </c>
      <c r="V13" s="1"/>
      <c r="W13" s="9">
        <v>0.501</v>
      </c>
      <c r="X13" s="9">
        <v>15.4</v>
      </c>
      <c r="Y13" s="9">
        <v>71.2</v>
      </c>
      <c r="Z13" s="9">
        <v>0.27200000000000002</v>
      </c>
      <c r="AA13" s="5"/>
      <c r="AB13" s="5"/>
      <c r="AC13" s="5">
        <f t="shared" si="1"/>
        <v>12</v>
      </c>
      <c r="AD13" s="5">
        <f t="shared" si="2"/>
        <v>11</v>
      </c>
      <c r="AE13" s="5">
        <f t="shared" si="3"/>
        <v>11</v>
      </c>
      <c r="AF13" s="5">
        <f t="shared" si="0"/>
        <v>7</v>
      </c>
      <c r="AG13" s="5">
        <f t="shared" si="4"/>
        <v>7</v>
      </c>
      <c r="AH13" s="5">
        <f t="shared" si="5"/>
        <v>10</v>
      </c>
      <c r="AI13" s="5">
        <f t="shared" si="6"/>
        <v>2</v>
      </c>
      <c r="AJ13" s="5">
        <f t="shared" si="7"/>
        <v>8</v>
      </c>
      <c r="AK13" s="5">
        <f t="shared" si="8"/>
        <v>3</v>
      </c>
      <c r="AL13" s="5">
        <f t="shared" si="9"/>
        <v>12</v>
      </c>
      <c r="AM13" s="5">
        <f t="shared" si="10"/>
        <v>10</v>
      </c>
      <c r="AN13" s="5">
        <f t="shared" si="11"/>
        <v>4</v>
      </c>
      <c r="AO13" s="5">
        <f t="shared" si="12"/>
        <v>2</v>
      </c>
      <c r="AP13" s="5">
        <f t="shared" si="13"/>
        <v>3</v>
      </c>
      <c r="AQ13" s="5">
        <f t="shared" si="14"/>
        <v>6</v>
      </c>
      <c r="AR13" s="5"/>
      <c r="AS13" s="5">
        <f t="shared" si="21"/>
        <v>6</v>
      </c>
      <c r="AT13" s="5">
        <f t="shared" si="16"/>
        <v>3</v>
      </c>
      <c r="AU13" s="5">
        <f t="shared" si="22"/>
        <v>2</v>
      </c>
      <c r="AV13" s="5">
        <f t="shared" si="17"/>
        <v>2</v>
      </c>
      <c r="AW13" s="5"/>
      <c r="AX13" s="5">
        <f t="shared" si="18"/>
        <v>11</v>
      </c>
      <c r="AY13" s="5">
        <f t="shared" si="19"/>
        <v>7</v>
      </c>
      <c r="AZ13" s="5">
        <f t="shared" si="19"/>
        <v>10</v>
      </c>
      <c r="BA13" s="5">
        <f t="shared" si="20"/>
        <v>11</v>
      </c>
    </row>
    <row r="14" spans="1:53" x14ac:dyDescent="0.25">
      <c r="A14" s="6" t="s">
        <v>44</v>
      </c>
      <c r="B14" s="8">
        <v>27.9</v>
      </c>
      <c r="C14" s="1">
        <v>15</v>
      </c>
      <c r="D14" s="1">
        <v>19</v>
      </c>
      <c r="E14" s="1">
        <v>12</v>
      </c>
      <c r="F14" s="1">
        <v>22</v>
      </c>
      <c r="G14" s="9">
        <v>-3.06</v>
      </c>
      <c r="H14" s="9">
        <v>-0.14000000000000001</v>
      </c>
      <c r="I14" s="9">
        <v>-3.2</v>
      </c>
      <c r="J14" s="9">
        <v>94.4</v>
      </c>
      <c r="K14" s="9">
        <v>98.4</v>
      </c>
      <c r="L14" s="9">
        <v>-4</v>
      </c>
      <c r="M14" s="9">
        <v>75.599999999999994</v>
      </c>
      <c r="N14" s="9">
        <v>0.28299999999999997</v>
      </c>
      <c r="O14" s="9">
        <v>0.152</v>
      </c>
      <c r="P14" s="9">
        <v>0.49099999999999999</v>
      </c>
      <c r="Q14" s="1"/>
      <c r="R14" s="9">
        <v>0.44500000000000001</v>
      </c>
      <c r="S14" s="9">
        <v>16.399999999999999</v>
      </c>
      <c r="T14" s="9">
        <v>26.6</v>
      </c>
      <c r="U14" s="9">
        <v>0.21299999999999999</v>
      </c>
      <c r="V14" s="1"/>
      <c r="W14" s="9">
        <v>0.46500000000000002</v>
      </c>
      <c r="X14" s="9">
        <v>15.3</v>
      </c>
      <c r="Y14" s="9">
        <v>74.8</v>
      </c>
      <c r="Z14" s="9">
        <v>0.20599999999999999</v>
      </c>
      <c r="AA14" s="5"/>
      <c r="AB14" s="5"/>
      <c r="AC14" s="5">
        <f t="shared" si="1"/>
        <v>3</v>
      </c>
      <c r="AD14" s="5">
        <f t="shared" si="2"/>
        <v>8</v>
      </c>
      <c r="AE14" s="5">
        <f t="shared" si="3"/>
        <v>8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5</v>
      </c>
      <c r="AJ14" s="5">
        <f t="shared" si="7"/>
        <v>11</v>
      </c>
      <c r="AK14" s="5">
        <f t="shared" si="8"/>
        <v>12</v>
      </c>
      <c r="AL14" s="5">
        <f t="shared" si="9"/>
        <v>4</v>
      </c>
      <c r="AM14" s="5">
        <f t="shared" si="10"/>
        <v>11</v>
      </c>
      <c r="AN14" s="5">
        <f t="shared" si="11"/>
        <v>8</v>
      </c>
      <c r="AO14" s="5">
        <f t="shared" si="12"/>
        <v>6</v>
      </c>
      <c r="AP14" s="5">
        <f t="shared" si="13"/>
        <v>11</v>
      </c>
      <c r="AQ14" s="5">
        <f t="shared" si="14"/>
        <v>11</v>
      </c>
      <c r="AR14" s="5"/>
      <c r="AS14" s="5">
        <f t="shared" si="21"/>
        <v>12</v>
      </c>
      <c r="AT14" s="5">
        <f t="shared" si="16"/>
        <v>8</v>
      </c>
      <c r="AU14" s="5">
        <f t="shared" si="22"/>
        <v>6</v>
      </c>
      <c r="AV14" s="5">
        <f t="shared" si="17"/>
        <v>6</v>
      </c>
      <c r="AW14" s="5"/>
      <c r="AX14" s="5">
        <f t="shared" si="18"/>
        <v>4</v>
      </c>
      <c r="AY14" s="5">
        <f t="shared" si="19"/>
        <v>8</v>
      </c>
      <c r="AZ14" s="5">
        <f t="shared" si="19"/>
        <v>2</v>
      </c>
      <c r="BA14" s="5">
        <f t="shared" si="20"/>
        <v>4</v>
      </c>
    </row>
    <row r="15" spans="1:53" x14ac:dyDescent="0.25">
      <c r="A15" s="6" t="s">
        <v>45</v>
      </c>
      <c r="B15" s="8">
        <v>28.7</v>
      </c>
      <c r="C15" s="1">
        <v>12</v>
      </c>
      <c r="D15" s="1">
        <v>22</v>
      </c>
      <c r="E15" s="1">
        <v>10</v>
      </c>
      <c r="F15" s="1">
        <v>24</v>
      </c>
      <c r="G15" s="9">
        <v>-4.4400000000000004</v>
      </c>
      <c r="H15" s="9">
        <v>1.1100000000000001</v>
      </c>
      <c r="I15" s="9">
        <v>-3.33</v>
      </c>
      <c r="J15" s="9">
        <v>96.6</v>
      </c>
      <c r="K15" s="9">
        <v>102.7</v>
      </c>
      <c r="L15" s="9">
        <v>-6.1</v>
      </c>
      <c r="M15" s="9">
        <v>72.599999999999994</v>
      </c>
      <c r="N15" s="9">
        <v>0.26200000000000001</v>
      </c>
      <c r="O15" s="9">
        <v>0.29199999999999998</v>
      </c>
      <c r="P15" s="9">
        <v>0.52700000000000002</v>
      </c>
      <c r="Q15" s="1"/>
      <c r="R15" s="9">
        <v>0.48499999999999999</v>
      </c>
      <c r="S15" s="9">
        <v>17.899999999999999</v>
      </c>
      <c r="T15" s="9">
        <v>20.7</v>
      </c>
      <c r="U15" s="9">
        <v>0.20399999999999999</v>
      </c>
      <c r="V15" s="1"/>
      <c r="W15" s="9">
        <v>0.49099999999999999</v>
      </c>
      <c r="X15" s="9">
        <v>15.7</v>
      </c>
      <c r="Y15" s="9">
        <v>72.900000000000006</v>
      </c>
      <c r="Z15" s="9">
        <v>0.214</v>
      </c>
      <c r="AA15" s="5"/>
      <c r="AB15" s="5"/>
      <c r="AC15" s="5">
        <f t="shared" si="1"/>
        <v>1</v>
      </c>
      <c r="AD15" s="5">
        <f t="shared" si="2"/>
        <v>11</v>
      </c>
      <c r="AE15" s="5">
        <f t="shared" si="3"/>
        <v>11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1</v>
      </c>
      <c r="AJ15" s="5">
        <f t="shared" si="7"/>
        <v>12</v>
      </c>
      <c r="AK15" s="5">
        <f t="shared" si="8"/>
        <v>11</v>
      </c>
      <c r="AL15" s="5">
        <f t="shared" si="9"/>
        <v>10</v>
      </c>
      <c r="AM15" s="5">
        <f t="shared" si="10"/>
        <v>12</v>
      </c>
      <c r="AN15" s="5">
        <f t="shared" si="11"/>
        <v>12</v>
      </c>
      <c r="AO15" s="5">
        <f t="shared" si="12"/>
        <v>8</v>
      </c>
      <c r="AP15" s="5">
        <f t="shared" si="13"/>
        <v>1</v>
      </c>
      <c r="AQ15" s="5">
        <f t="shared" si="14"/>
        <v>3</v>
      </c>
      <c r="AR15" s="5"/>
      <c r="AS15" s="5">
        <f t="shared" si="21"/>
        <v>3</v>
      </c>
      <c r="AT15" s="5">
        <f t="shared" si="16"/>
        <v>12</v>
      </c>
      <c r="AU15" s="5">
        <f t="shared" si="22"/>
        <v>12</v>
      </c>
      <c r="AV15" s="5">
        <f t="shared" si="17"/>
        <v>9</v>
      </c>
      <c r="AW15" s="5"/>
      <c r="AX15" s="5">
        <f t="shared" si="18"/>
        <v>10</v>
      </c>
      <c r="AY15" s="5">
        <f t="shared" si="19"/>
        <v>6</v>
      </c>
      <c r="AZ15" s="5">
        <f t="shared" si="19"/>
        <v>4</v>
      </c>
      <c r="BA15" s="5">
        <f t="shared" si="20"/>
        <v>7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26.824999999999999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16.666666666666668</v>
      </c>
      <c r="F24" s="9">
        <f t="shared" si="23"/>
        <v>17.333333333333332</v>
      </c>
      <c r="G24" s="9">
        <f t="shared" si="23"/>
        <v>0</v>
      </c>
      <c r="H24" s="9">
        <f t="shared" si="23"/>
        <v>0</v>
      </c>
      <c r="I24" s="9">
        <f t="shared" si="23"/>
        <v>-2.9605947323337506E-16</v>
      </c>
      <c r="J24" s="9">
        <f t="shared" si="23"/>
        <v>100.21666666666665</v>
      </c>
      <c r="K24" s="9">
        <f t="shared" si="23"/>
        <v>100.26666666666667</v>
      </c>
      <c r="L24" s="9">
        <f t="shared" si="23"/>
        <v>-5.0000000000000266E-2</v>
      </c>
      <c r="M24" s="9">
        <f t="shared" si="23"/>
        <v>75.808333333333337</v>
      </c>
      <c r="N24" s="9">
        <f t="shared" si="23"/>
        <v>0.28083333333333332</v>
      </c>
      <c r="O24" s="9">
        <f t="shared" si="23"/>
        <v>0.21266666666666667</v>
      </c>
      <c r="P24" s="9">
        <f t="shared" si="23"/>
        <v>0.51775000000000004</v>
      </c>
      <c r="Q24" s="9"/>
      <c r="R24" s="9">
        <f t="shared" si="23"/>
        <v>0.47216666666666679</v>
      </c>
      <c r="S24" s="9">
        <f t="shared" si="23"/>
        <v>16.033333333333335</v>
      </c>
      <c r="T24" s="9">
        <f t="shared" si="23"/>
        <v>27.483333333333334</v>
      </c>
      <c r="U24" s="9">
        <f t="shared" si="23"/>
        <v>0.21900000000000006</v>
      </c>
      <c r="V24" s="9"/>
      <c r="W24" s="9">
        <f t="shared" si="23"/>
        <v>0.47233333333333327</v>
      </c>
      <c r="X24" s="9">
        <f t="shared" si="23"/>
        <v>16.016666666666669</v>
      </c>
      <c r="Y24" s="9">
        <f t="shared" si="23"/>
        <v>72.349999999999994</v>
      </c>
      <c r="Z24" s="9">
        <f t="shared" si="23"/>
        <v>0.21991666666666668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51</v>
      </c>
      <c r="B4" s="7">
        <v>34</v>
      </c>
      <c r="C4" s="1">
        <v>6975</v>
      </c>
      <c r="D4" s="9">
        <v>0.433</v>
      </c>
      <c r="E4" s="9">
        <v>11.5</v>
      </c>
      <c r="F4" s="9"/>
      <c r="G4" s="9">
        <v>0.78900000000000003</v>
      </c>
      <c r="H4" s="9">
        <v>0.316</v>
      </c>
      <c r="I4" s="9">
        <v>0.17399999999999999</v>
      </c>
      <c r="J4" s="9">
        <v>0.126</v>
      </c>
      <c r="K4" s="9">
        <v>0.17399999999999999</v>
      </c>
      <c r="L4" s="9">
        <v>0.21099999999999999</v>
      </c>
      <c r="M4" s="9"/>
      <c r="N4" s="9">
        <v>0.46700000000000003</v>
      </c>
      <c r="O4" s="9">
        <v>0.65600000000000003</v>
      </c>
      <c r="P4" s="9">
        <v>0.34499999999999997</v>
      </c>
      <c r="Q4" s="9">
        <v>0.34300000000000003</v>
      </c>
      <c r="R4" s="9">
        <v>0.33600000000000002</v>
      </c>
      <c r="S4" s="9">
        <v>0.30299999999999999</v>
      </c>
      <c r="T4" s="9"/>
      <c r="U4" s="9">
        <v>0.61599999999999999</v>
      </c>
      <c r="V4" s="9">
        <v>0.745</v>
      </c>
      <c r="W4" s="9"/>
      <c r="X4" s="10">
        <v>0.111</v>
      </c>
      <c r="Y4" s="10">
        <v>0.28599999999999998</v>
      </c>
      <c r="Z4" s="5"/>
      <c r="AA4" s="5"/>
      <c r="AB4" s="5">
        <f t="shared" ref="AB4:AB18" si="0">RANK(D4,D$4:D$18,0)</f>
        <v>6</v>
      </c>
      <c r="AC4" s="5"/>
      <c r="AD4" s="5">
        <f t="shared" ref="AD4:AD18" si="1">RANK(G4,G$4:G$18,0)</f>
        <v>6</v>
      </c>
      <c r="AE4" s="5">
        <f t="shared" ref="AE4:AE18" si="2">RANK(H4,H$4:H$18,0)</f>
        <v>3</v>
      </c>
      <c r="AF4" s="5">
        <f t="shared" ref="AF4:AF18" si="3">RANK(I4,I$4:I$18,0)</f>
        <v>7</v>
      </c>
      <c r="AG4" s="5">
        <f t="shared" ref="AG4:AG18" si="4">RANK(J4,J$4:J$18,0)</f>
        <v>7</v>
      </c>
      <c r="AH4" s="5">
        <f t="shared" ref="AH4:AH18" si="5">RANK(K4,K$4:K$18,0)</f>
        <v>8</v>
      </c>
      <c r="AI4" s="5">
        <f t="shared" ref="AI4:AI18" si="6">RANK(L4,L$4:L$18,0)</f>
        <v>7</v>
      </c>
      <c r="AJ4" s="5"/>
      <c r="AK4" s="5">
        <f t="shared" ref="AK4:AK18" si="7">RANK(N4,N$4:N$18,0)</f>
        <v>6</v>
      </c>
      <c r="AL4" s="5">
        <f t="shared" ref="AL4:AL18" si="8">RANK(O4,O$4:O$18,0)</f>
        <v>5</v>
      </c>
      <c r="AM4" s="5">
        <f t="shared" ref="AM4:AM18" si="9">RANK(P4,P$4:P$18,0)</f>
        <v>8</v>
      </c>
      <c r="AN4" s="5">
        <f t="shared" ref="AN4:AN18" si="10">RANK(Q4,Q$4:Q$18,0)</f>
        <v>9</v>
      </c>
      <c r="AO4" s="5">
        <f t="shared" ref="AO4:AO18" si="11">RANK(R4,R$4:R$18,0)</f>
        <v>10</v>
      </c>
      <c r="AP4" s="5">
        <f t="shared" ref="AP4:AP18" si="12">RANK(S4,S$4:S$18,0)</f>
        <v>12</v>
      </c>
      <c r="AQ4" s="5"/>
      <c r="AR4" s="5">
        <f t="shared" ref="AR4:AR18" si="13">RANK(U4,U$4:U$18,0)</f>
        <v>2</v>
      </c>
      <c r="AS4" s="5">
        <f t="shared" ref="AS4:AS18" si="14">RANK(V4,V$4:V$18,0)</f>
        <v>10</v>
      </c>
      <c r="AT4" s="5"/>
      <c r="AU4" s="5">
        <f t="shared" ref="AU4:AU18" si="15">RANK(X4,X$4:X$18,0)</f>
        <v>10</v>
      </c>
      <c r="AV4" s="5">
        <f t="shared" ref="AV4:AV18" si="16">RANK(Y4,Y$4:Y$18,0)</f>
        <v>12</v>
      </c>
    </row>
    <row r="5" spans="1:48" x14ac:dyDescent="0.25">
      <c r="A5" s="6" t="s">
        <v>46</v>
      </c>
      <c r="B5" s="7">
        <v>34</v>
      </c>
      <c r="C5" s="1">
        <v>6875</v>
      </c>
      <c r="D5" s="9">
        <v>0.434</v>
      </c>
      <c r="E5" s="9">
        <v>11.8</v>
      </c>
      <c r="F5" s="9"/>
      <c r="G5" s="9">
        <v>0.84</v>
      </c>
      <c r="H5" s="9">
        <v>0.29499999999999998</v>
      </c>
      <c r="I5" s="9">
        <v>0.16500000000000001</v>
      </c>
      <c r="J5" s="9">
        <v>0.14000000000000001</v>
      </c>
      <c r="K5" s="9">
        <v>0.24199999999999999</v>
      </c>
      <c r="L5" s="9">
        <v>0.16</v>
      </c>
      <c r="M5" s="9"/>
      <c r="N5" s="9">
        <v>0.45300000000000001</v>
      </c>
      <c r="O5" s="9">
        <v>0.58399999999999996</v>
      </c>
      <c r="P5" s="9">
        <v>0.33200000000000002</v>
      </c>
      <c r="Q5" s="9">
        <v>0.43</v>
      </c>
      <c r="R5" s="9">
        <v>0.38700000000000001</v>
      </c>
      <c r="S5" s="9">
        <v>0.33200000000000002</v>
      </c>
      <c r="T5" s="9"/>
      <c r="U5" s="9">
        <v>0.54100000000000004</v>
      </c>
      <c r="V5" s="9">
        <v>0.79</v>
      </c>
      <c r="W5" s="9"/>
      <c r="X5" s="10">
        <v>0.159</v>
      </c>
      <c r="Y5" s="10">
        <v>0.33300000000000002</v>
      </c>
      <c r="Z5" s="5"/>
      <c r="AA5" s="5"/>
      <c r="AB5" s="5">
        <f t="shared" si="0"/>
        <v>5</v>
      </c>
      <c r="AC5" s="5"/>
      <c r="AD5" s="5">
        <f t="shared" si="1"/>
        <v>3</v>
      </c>
      <c r="AE5" s="5">
        <f t="shared" si="2"/>
        <v>4</v>
      </c>
      <c r="AF5" s="5">
        <f t="shared" si="3"/>
        <v>9</v>
      </c>
      <c r="AG5" s="5">
        <f t="shared" si="4"/>
        <v>6</v>
      </c>
      <c r="AH5" s="5">
        <f t="shared" si="5"/>
        <v>1</v>
      </c>
      <c r="AI5" s="5">
        <f t="shared" si="6"/>
        <v>10</v>
      </c>
      <c r="AJ5" s="5"/>
      <c r="AK5" s="5">
        <f t="shared" si="7"/>
        <v>9</v>
      </c>
      <c r="AL5" s="5">
        <f t="shared" si="8"/>
        <v>10</v>
      </c>
      <c r="AM5" s="5">
        <f t="shared" si="9"/>
        <v>12</v>
      </c>
      <c r="AN5" s="5">
        <f t="shared" si="10"/>
        <v>2</v>
      </c>
      <c r="AO5" s="5">
        <f t="shared" si="11"/>
        <v>4</v>
      </c>
      <c r="AP5" s="5">
        <f t="shared" si="12"/>
        <v>6</v>
      </c>
      <c r="AQ5" s="5"/>
      <c r="AR5" s="5">
        <f t="shared" si="13"/>
        <v>9</v>
      </c>
      <c r="AS5" s="5">
        <f t="shared" si="14"/>
        <v>8</v>
      </c>
      <c r="AT5" s="5"/>
      <c r="AU5" s="5">
        <f t="shared" si="15"/>
        <v>6</v>
      </c>
      <c r="AV5" s="5">
        <f t="shared" si="16"/>
        <v>11</v>
      </c>
    </row>
    <row r="6" spans="1:48" x14ac:dyDescent="0.25">
      <c r="A6" s="6" t="s">
        <v>42</v>
      </c>
      <c r="B6" s="7">
        <v>34</v>
      </c>
      <c r="C6" s="1">
        <v>6875</v>
      </c>
      <c r="D6" s="9">
        <v>0.41499999999999998</v>
      </c>
      <c r="E6" s="9">
        <v>11.2</v>
      </c>
      <c r="F6" s="9"/>
      <c r="G6" s="9">
        <v>0.80300000000000005</v>
      </c>
      <c r="H6" s="9">
        <v>0.31900000000000001</v>
      </c>
      <c r="I6" s="9">
        <v>0.20599999999999999</v>
      </c>
      <c r="J6" s="9">
        <v>0.11</v>
      </c>
      <c r="K6" s="9">
        <v>0.16800000000000001</v>
      </c>
      <c r="L6" s="9">
        <v>0.19700000000000001</v>
      </c>
      <c r="M6" s="9"/>
      <c r="N6" s="9">
        <v>0.438</v>
      </c>
      <c r="O6" s="9">
        <v>0.60399999999999998</v>
      </c>
      <c r="P6" s="9">
        <v>0.33300000000000002</v>
      </c>
      <c r="Q6" s="9">
        <v>0.33200000000000002</v>
      </c>
      <c r="R6" s="9">
        <v>0.318</v>
      </c>
      <c r="S6" s="9">
        <v>0.32200000000000001</v>
      </c>
      <c r="T6" s="9"/>
      <c r="U6" s="9">
        <v>0.441</v>
      </c>
      <c r="V6" s="9">
        <v>0.69499999999999995</v>
      </c>
      <c r="W6" s="9"/>
      <c r="X6" s="10">
        <v>9.6000000000000002E-2</v>
      </c>
      <c r="Y6" s="10">
        <v>0.51100000000000001</v>
      </c>
      <c r="Z6" s="5"/>
      <c r="AA6" s="5"/>
      <c r="AB6" s="5">
        <f t="shared" si="0"/>
        <v>12</v>
      </c>
      <c r="AC6" s="5"/>
      <c r="AD6" s="5">
        <f t="shared" si="1"/>
        <v>5</v>
      </c>
      <c r="AE6" s="5">
        <f t="shared" si="2"/>
        <v>1</v>
      </c>
      <c r="AF6" s="5">
        <f t="shared" si="3"/>
        <v>5</v>
      </c>
      <c r="AG6" s="5">
        <f t="shared" si="4"/>
        <v>10</v>
      </c>
      <c r="AH6" s="5">
        <f t="shared" si="5"/>
        <v>9</v>
      </c>
      <c r="AI6" s="5">
        <f t="shared" si="6"/>
        <v>8</v>
      </c>
      <c r="AJ6" s="5"/>
      <c r="AK6" s="5">
        <f t="shared" si="7"/>
        <v>12</v>
      </c>
      <c r="AL6" s="5">
        <f t="shared" si="8"/>
        <v>9</v>
      </c>
      <c r="AM6" s="5">
        <f t="shared" si="9"/>
        <v>11</v>
      </c>
      <c r="AN6" s="5">
        <f t="shared" si="10"/>
        <v>11</v>
      </c>
      <c r="AO6" s="5">
        <f t="shared" si="11"/>
        <v>12</v>
      </c>
      <c r="AP6" s="5">
        <f t="shared" si="12"/>
        <v>7</v>
      </c>
      <c r="AQ6" s="5"/>
      <c r="AR6" s="5">
        <f t="shared" si="13"/>
        <v>12</v>
      </c>
      <c r="AS6" s="5">
        <f t="shared" si="14"/>
        <v>12</v>
      </c>
      <c r="AT6" s="5"/>
      <c r="AU6" s="5">
        <f t="shared" si="15"/>
        <v>12</v>
      </c>
      <c r="AV6" s="5">
        <f t="shared" si="16"/>
        <v>1</v>
      </c>
    </row>
    <row r="7" spans="1:48" x14ac:dyDescent="0.25">
      <c r="A7" s="6" t="s">
        <v>48</v>
      </c>
      <c r="B7" s="7">
        <v>34</v>
      </c>
      <c r="C7" s="1">
        <v>6900</v>
      </c>
      <c r="D7" s="9">
        <v>0.41799999999999998</v>
      </c>
      <c r="E7" s="9">
        <v>11.9</v>
      </c>
      <c r="F7" s="9"/>
      <c r="G7" s="9">
        <v>0.76700000000000002</v>
      </c>
      <c r="H7" s="9">
        <v>0.317</v>
      </c>
      <c r="I7" s="9">
        <v>0.156</v>
      </c>
      <c r="J7" s="9">
        <v>0.10100000000000001</v>
      </c>
      <c r="K7" s="9">
        <v>0.192</v>
      </c>
      <c r="L7" s="9">
        <v>0.23300000000000001</v>
      </c>
      <c r="M7" s="9"/>
      <c r="N7" s="9">
        <v>0.44</v>
      </c>
      <c r="O7" s="9">
        <v>0.55500000000000005</v>
      </c>
      <c r="P7" s="9">
        <v>0.34499999999999997</v>
      </c>
      <c r="Q7" s="9">
        <v>0.379</v>
      </c>
      <c r="R7" s="9">
        <v>0.36199999999999999</v>
      </c>
      <c r="S7" s="9">
        <v>0.34599999999999997</v>
      </c>
      <c r="T7" s="9"/>
      <c r="U7" s="9">
        <v>0.45100000000000001</v>
      </c>
      <c r="V7" s="9">
        <v>0.874</v>
      </c>
      <c r="W7" s="9"/>
      <c r="X7" s="10">
        <v>0.24099999999999999</v>
      </c>
      <c r="Y7" s="10">
        <v>0.39300000000000002</v>
      </c>
      <c r="Z7" s="5"/>
      <c r="AA7" s="5"/>
      <c r="AB7" s="5">
        <f t="shared" si="0"/>
        <v>11</v>
      </c>
      <c r="AC7" s="5"/>
      <c r="AD7" s="5">
        <f t="shared" si="1"/>
        <v>7</v>
      </c>
      <c r="AE7" s="5">
        <f t="shared" si="2"/>
        <v>2</v>
      </c>
      <c r="AF7" s="5">
        <f t="shared" si="3"/>
        <v>11</v>
      </c>
      <c r="AG7" s="5">
        <f t="shared" si="4"/>
        <v>12</v>
      </c>
      <c r="AH7" s="5">
        <f t="shared" si="5"/>
        <v>5</v>
      </c>
      <c r="AI7" s="5">
        <f t="shared" si="6"/>
        <v>6</v>
      </c>
      <c r="AJ7" s="5"/>
      <c r="AK7" s="5">
        <f t="shared" si="7"/>
        <v>11</v>
      </c>
      <c r="AL7" s="5">
        <f t="shared" si="8"/>
        <v>12</v>
      </c>
      <c r="AM7" s="5">
        <f t="shared" si="9"/>
        <v>8</v>
      </c>
      <c r="AN7" s="5">
        <f t="shared" si="10"/>
        <v>7</v>
      </c>
      <c r="AO7" s="5">
        <f t="shared" si="11"/>
        <v>8</v>
      </c>
      <c r="AP7" s="5">
        <f t="shared" si="12"/>
        <v>3</v>
      </c>
      <c r="AQ7" s="5"/>
      <c r="AR7" s="5">
        <f t="shared" si="13"/>
        <v>10</v>
      </c>
      <c r="AS7" s="5">
        <f t="shared" si="14"/>
        <v>3</v>
      </c>
      <c r="AT7" s="5"/>
      <c r="AU7" s="5">
        <f t="shared" si="15"/>
        <v>1</v>
      </c>
      <c r="AV7" s="5">
        <f t="shared" si="16"/>
        <v>5</v>
      </c>
    </row>
    <row r="8" spans="1:48" x14ac:dyDescent="0.25">
      <c r="A8" s="6" t="s">
        <v>49</v>
      </c>
      <c r="B8" s="7">
        <v>34</v>
      </c>
      <c r="C8" s="1">
        <v>6925</v>
      </c>
      <c r="D8" s="9">
        <v>0.45700000000000002</v>
      </c>
      <c r="E8" s="9">
        <v>11.1</v>
      </c>
      <c r="F8" s="9"/>
      <c r="G8" s="9">
        <v>0.876</v>
      </c>
      <c r="H8" s="9">
        <v>0.27600000000000002</v>
      </c>
      <c r="I8" s="9">
        <v>0.215</v>
      </c>
      <c r="J8" s="9">
        <v>0.16</v>
      </c>
      <c r="K8" s="9">
        <v>0.22500000000000001</v>
      </c>
      <c r="L8" s="9">
        <v>0.124</v>
      </c>
      <c r="M8" s="9"/>
      <c r="N8" s="9">
        <v>0.47699999999999998</v>
      </c>
      <c r="O8" s="9">
        <v>0.65200000000000002</v>
      </c>
      <c r="P8" s="9">
        <v>0.39700000000000002</v>
      </c>
      <c r="Q8" s="9">
        <v>0.377</v>
      </c>
      <c r="R8" s="9">
        <v>0.40899999999999997</v>
      </c>
      <c r="S8" s="9">
        <v>0.316</v>
      </c>
      <c r="T8" s="9"/>
      <c r="U8" s="9">
        <v>0.59499999999999997</v>
      </c>
      <c r="V8" s="9">
        <v>0.70799999999999996</v>
      </c>
      <c r="W8" s="9"/>
      <c r="X8" s="10">
        <v>0.13100000000000001</v>
      </c>
      <c r="Y8" s="10">
        <v>0.378</v>
      </c>
      <c r="Z8" s="5"/>
      <c r="AA8" s="5"/>
      <c r="AB8" s="5">
        <f t="shared" si="0"/>
        <v>3</v>
      </c>
      <c r="AC8" s="5"/>
      <c r="AD8" s="5">
        <f t="shared" si="1"/>
        <v>1</v>
      </c>
      <c r="AE8" s="5">
        <f t="shared" si="2"/>
        <v>7</v>
      </c>
      <c r="AF8" s="5">
        <f t="shared" si="3"/>
        <v>4</v>
      </c>
      <c r="AG8" s="5">
        <f t="shared" si="4"/>
        <v>4</v>
      </c>
      <c r="AH8" s="5">
        <f t="shared" si="5"/>
        <v>2</v>
      </c>
      <c r="AI8" s="5">
        <f t="shared" si="6"/>
        <v>12</v>
      </c>
      <c r="AJ8" s="5"/>
      <c r="AK8" s="5">
        <f t="shared" si="7"/>
        <v>4</v>
      </c>
      <c r="AL8" s="5">
        <f t="shared" si="8"/>
        <v>6</v>
      </c>
      <c r="AM8" s="5">
        <f t="shared" si="9"/>
        <v>3</v>
      </c>
      <c r="AN8" s="5">
        <f t="shared" si="10"/>
        <v>8</v>
      </c>
      <c r="AO8" s="5">
        <f t="shared" si="11"/>
        <v>2</v>
      </c>
      <c r="AP8" s="5">
        <f t="shared" si="12"/>
        <v>9</v>
      </c>
      <c r="AQ8" s="5"/>
      <c r="AR8" s="5">
        <f t="shared" si="13"/>
        <v>3</v>
      </c>
      <c r="AS8" s="5">
        <f t="shared" si="14"/>
        <v>11</v>
      </c>
      <c r="AT8" s="5"/>
      <c r="AU8" s="5">
        <f t="shared" si="15"/>
        <v>8</v>
      </c>
      <c r="AV8" s="5">
        <f t="shared" si="16"/>
        <v>8</v>
      </c>
    </row>
    <row r="9" spans="1:48" x14ac:dyDescent="0.25">
      <c r="A9" s="6" t="s">
        <v>52</v>
      </c>
      <c r="B9" s="7">
        <v>34</v>
      </c>
      <c r="C9" s="1">
        <v>6875</v>
      </c>
      <c r="D9" s="9">
        <v>0.46700000000000003</v>
      </c>
      <c r="E9" s="9">
        <v>11.8</v>
      </c>
      <c r="F9" s="9"/>
      <c r="G9" s="9">
        <v>0.83399999999999996</v>
      </c>
      <c r="H9" s="9">
        <v>0.27700000000000002</v>
      </c>
      <c r="I9" s="9">
        <v>0.16500000000000001</v>
      </c>
      <c r="J9" s="9">
        <v>0.16700000000000001</v>
      </c>
      <c r="K9" s="9">
        <v>0.224</v>
      </c>
      <c r="L9" s="9">
        <v>0.16600000000000001</v>
      </c>
      <c r="M9" s="9"/>
      <c r="N9" s="9">
        <v>0.49299999999999999</v>
      </c>
      <c r="O9" s="9">
        <v>0.67700000000000005</v>
      </c>
      <c r="P9" s="9">
        <v>0.38600000000000001</v>
      </c>
      <c r="Q9" s="9">
        <v>0.432</v>
      </c>
      <c r="R9" s="9">
        <v>0.39100000000000001</v>
      </c>
      <c r="S9" s="9">
        <v>0.33800000000000002</v>
      </c>
      <c r="T9" s="9"/>
      <c r="U9" s="9">
        <v>0.61799999999999999</v>
      </c>
      <c r="V9" s="9">
        <v>0.85199999999999998</v>
      </c>
      <c r="W9" s="9"/>
      <c r="X9" s="10">
        <v>0.129</v>
      </c>
      <c r="Y9" s="10">
        <v>0.42899999999999999</v>
      </c>
      <c r="Z9" s="5"/>
      <c r="AA9" s="5"/>
      <c r="AB9" s="5">
        <f t="shared" si="0"/>
        <v>2</v>
      </c>
      <c r="AC9" s="5"/>
      <c r="AD9" s="5">
        <f t="shared" si="1"/>
        <v>4</v>
      </c>
      <c r="AE9" s="5">
        <f t="shared" si="2"/>
        <v>6</v>
      </c>
      <c r="AF9" s="5">
        <f t="shared" si="3"/>
        <v>9</v>
      </c>
      <c r="AG9" s="5">
        <f t="shared" si="4"/>
        <v>2</v>
      </c>
      <c r="AH9" s="5">
        <f t="shared" si="5"/>
        <v>3</v>
      </c>
      <c r="AI9" s="5">
        <f t="shared" si="6"/>
        <v>9</v>
      </c>
      <c r="AJ9" s="5"/>
      <c r="AK9" s="5">
        <f t="shared" si="7"/>
        <v>2</v>
      </c>
      <c r="AL9" s="5">
        <f t="shared" si="8"/>
        <v>4</v>
      </c>
      <c r="AM9" s="5">
        <f t="shared" si="9"/>
        <v>4</v>
      </c>
      <c r="AN9" s="5">
        <f t="shared" si="10"/>
        <v>1</v>
      </c>
      <c r="AO9" s="5">
        <f t="shared" si="11"/>
        <v>3</v>
      </c>
      <c r="AP9" s="5">
        <f t="shared" si="12"/>
        <v>4</v>
      </c>
      <c r="AQ9" s="5"/>
      <c r="AR9" s="5">
        <f t="shared" si="13"/>
        <v>1</v>
      </c>
      <c r="AS9" s="5">
        <f t="shared" si="14"/>
        <v>5</v>
      </c>
      <c r="AT9" s="5"/>
      <c r="AU9" s="5">
        <f t="shared" si="15"/>
        <v>9</v>
      </c>
      <c r="AV9" s="5">
        <f t="shared" si="16"/>
        <v>3</v>
      </c>
    </row>
    <row r="10" spans="1:48" x14ac:dyDescent="0.25">
      <c r="A10" s="6" t="s">
        <v>44</v>
      </c>
      <c r="B10" s="7">
        <v>34</v>
      </c>
      <c r="C10" s="1">
        <v>6875</v>
      </c>
      <c r="D10" s="9">
        <v>0.42199999999999999</v>
      </c>
      <c r="E10" s="9">
        <v>11.5</v>
      </c>
      <c r="F10" s="9"/>
      <c r="G10" s="9">
        <v>0.84799999999999998</v>
      </c>
      <c r="H10" s="9">
        <v>0.26</v>
      </c>
      <c r="I10" s="9">
        <v>0.217</v>
      </c>
      <c r="J10" s="9">
        <v>0.16300000000000001</v>
      </c>
      <c r="K10" s="9">
        <v>0.20799999999999999</v>
      </c>
      <c r="L10" s="9">
        <v>0.152</v>
      </c>
      <c r="M10" s="9"/>
      <c r="N10" s="9">
        <v>0.443</v>
      </c>
      <c r="O10" s="9">
        <v>0.57799999999999996</v>
      </c>
      <c r="P10" s="9">
        <v>0.36499999999999999</v>
      </c>
      <c r="Q10" s="9">
        <v>0.40500000000000003</v>
      </c>
      <c r="R10" s="9">
        <v>0.38500000000000001</v>
      </c>
      <c r="S10" s="9">
        <v>0.30499999999999999</v>
      </c>
      <c r="T10" s="9"/>
      <c r="U10" s="9">
        <v>0.54600000000000004</v>
      </c>
      <c r="V10" s="9">
        <v>0.86399999999999999</v>
      </c>
      <c r="W10" s="9"/>
      <c r="X10" s="10">
        <v>0.19800000000000001</v>
      </c>
      <c r="Y10" s="10">
        <v>0.38800000000000001</v>
      </c>
      <c r="Z10" s="5"/>
      <c r="AA10" s="5"/>
      <c r="AB10" s="5">
        <f t="shared" si="0"/>
        <v>10</v>
      </c>
      <c r="AC10" s="5"/>
      <c r="AD10" s="5">
        <f t="shared" si="1"/>
        <v>2</v>
      </c>
      <c r="AE10" s="5">
        <f t="shared" si="2"/>
        <v>10</v>
      </c>
      <c r="AF10" s="5">
        <f t="shared" si="3"/>
        <v>3</v>
      </c>
      <c r="AG10" s="5">
        <f t="shared" si="4"/>
        <v>3</v>
      </c>
      <c r="AH10" s="5">
        <f t="shared" si="5"/>
        <v>4</v>
      </c>
      <c r="AI10" s="5">
        <f t="shared" si="6"/>
        <v>11</v>
      </c>
      <c r="AJ10" s="5"/>
      <c r="AK10" s="5">
        <f t="shared" si="7"/>
        <v>10</v>
      </c>
      <c r="AL10" s="5">
        <f t="shared" si="8"/>
        <v>11</v>
      </c>
      <c r="AM10" s="5">
        <f t="shared" si="9"/>
        <v>5</v>
      </c>
      <c r="AN10" s="5">
        <f t="shared" si="10"/>
        <v>4</v>
      </c>
      <c r="AO10" s="5">
        <f t="shared" si="11"/>
        <v>5</v>
      </c>
      <c r="AP10" s="5">
        <f t="shared" si="12"/>
        <v>10</v>
      </c>
      <c r="AQ10" s="5"/>
      <c r="AR10" s="5">
        <f t="shared" si="13"/>
        <v>7</v>
      </c>
      <c r="AS10" s="5">
        <f t="shared" si="14"/>
        <v>4</v>
      </c>
      <c r="AT10" s="5"/>
      <c r="AU10" s="5">
        <f t="shared" si="15"/>
        <v>4</v>
      </c>
      <c r="AV10" s="5">
        <f t="shared" si="16"/>
        <v>7</v>
      </c>
    </row>
    <row r="11" spans="1:48" x14ac:dyDescent="0.25">
      <c r="A11" s="6" t="s">
        <v>53</v>
      </c>
      <c r="B11" s="7">
        <v>34</v>
      </c>
      <c r="C11" s="1">
        <v>6875</v>
      </c>
      <c r="D11" s="9">
        <v>0.48399999999999999</v>
      </c>
      <c r="E11" s="9">
        <v>12.1</v>
      </c>
      <c r="F11" s="9"/>
      <c r="G11" s="9">
        <v>0.76600000000000001</v>
      </c>
      <c r="H11" s="9">
        <v>0.26700000000000002</v>
      </c>
      <c r="I11" s="9">
        <v>0.19700000000000001</v>
      </c>
      <c r="J11" s="9">
        <v>0.14399999999999999</v>
      </c>
      <c r="K11" s="9">
        <v>0.157</v>
      </c>
      <c r="L11" s="9">
        <v>0.23400000000000001</v>
      </c>
      <c r="M11" s="9"/>
      <c r="N11" s="9">
        <v>0.52500000000000002</v>
      </c>
      <c r="O11" s="9">
        <v>0.68799999999999994</v>
      </c>
      <c r="P11" s="9">
        <v>0.46300000000000002</v>
      </c>
      <c r="Q11" s="9">
        <v>0.41499999999999998</v>
      </c>
      <c r="R11" s="9">
        <v>0.42699999999999999</v>
      </c>
      <c r="S11" s="9">
        <v>0.35</v>
      </c>
      <c r="T11" s="9"/>
      <c r="U11" s="9">
        <v>0.59199999999999997</v>
      </c>
      <c r="V11" s="9">
        <v>0.80900000000000005</v>
      </c>
      <c r="W11" s="9"/>
      <c r="X11" s="10">
        <v>0.23</v>
      </c>
      <c r="Y11" s="10">
        <v>0.41</v>
      </c>
      <c r="Z11" s="5"/>
      <c r="AA11" s="5"/>
      <c r="AB11" s="5">
        <f t="shared" si="0"/>
        <v>1</v>
      </c>
      <c r="AC11" s="5"/>
      <c r="AD11" s="5">
        <f t="shared" si="1"/>
        <v>8</v>
      </c>
      <c r="AE11" s="5">
        <f t="shared" si="2"/>
        <v>9</v>
      </c>
      <c r="AF11" s="5">
        <f t="shared" si="3"/>
        <v>6</v>
      </c>
      <c r="AG11" s="5">
        <f t="shared" si="4"/>
        <v>5</v>
      </c>
      <c r="AH11" s="5">
        <f t="shared" si="5"/>
        <v>10</v>
      </c>
      <c r="AI11" s="5">
        <f t="shared" si="6"/>
        <v>5</v>
      </c>
      <c r="AJ11" s="5"/>
      <c r="AK11" s="5">
        <f t="shared" si="7"/>
        <v>1</v>
      </c>
      <c r="AL11" s="5">
        <f t="shared" si="8"/>
        <v>2</v>
      </c>
      <c r="AM11" s="5">
        <f t="shared" si="9"/>
        <v>1</v>
      </c>
      <c r="AN11" s="5">
        <f t="shared" si="10"/>
        <v>3</v>
      </c>
      <c r="AO11" s="5">
        <f t="shared" si="11"/>
        <v>1</v>
      </c>
      <c r="AP11" s="5">
        <f t="shared" si="12"/>
        <v>2</v>
      </c>
      <c r="AQ11" s="5"/>
      <c r="AR11" s="5">
        <f t="shared" si="13"/>
        <v>4</v>
      </c>
      <c r="AS11" s="5">
        <f t="shared" si="14"/>
        <v>7</v>
      </c>
      <c r="AT11" s="5"/>
      <c r="AU11" s="5">
        <f t="shared" si="15"/>
        <v>2</v>
      </c>
      <c r="AV11" s="5">
        <f t="shared" si="16"/>
        <v>4</v>
      </c>
    </row>
    <row r="12" spans="1:48" x14ac:dyDescent="0.25">
      <c r="A12" s="6" t="s">
        <v>47</v>
      </c>
      <c r="B12" s="7">
        <v>34</v>
      </c>
      <c r="C12" s="1">
        <v>6900</v>
      </c>
      <c r="D12" s="9">
        <v>0.43</v>
      </c>
      <c r="E12" s="9">
        <v>12.8</v>
      </c>
      <c r="F12" s="9"/>
      <c r="G12" s="9">
        <v>0.72499999999999998</v>
      </c>
      <c r="H12" s="9">
        <v>0.28899999999999998</v>
      </c>
      <c r="I12" s="9">
        <v>0.14499999999999999</v>
      </c>
      <c r="J12" s="9">
        <v>0.112</v>
      </c>
      <c r="K12" s="9">
        <v>0.17899999999999999</v>
      </c>
      <c r="L12" s="9">
        <v>0.27500000000000002</v>
      </c>
      <c r="M12" s="9"/>
      <c r="N12" s="9">
        <v>0.45700000000000002</v>
      </c>
      <c r="O12" s="9">
        <v>0.62</v>
      </c>
      <c r="P12" s="9">
        <v>0.34499999999999997</v>
      </c>
      <c r="Q12" s="9">
        <v>0.33900000000000002</v>
      </c>
      <c r="R12" s="9">
        <v>0.35899999999999999</v>
      </c>
      <c r="S12" s="9">
        <v>0.35899999999999999</v>
      </c>
      <c r="T12" s="9"/>
      <c r="U12" s="9">
        <v>0.54400000000000004</v>
      </c>
      <c r="V12" s="9">
        <v>0.92</v>
      </c>
      <c r="W12" s="9"/>
      <c r="X12" s="10">
        <v>0.152</v>
      </c>
      <c r="Y12" s="10">
        <v>0.46899999999999997</v>
      </c>
      <c r="Z12" s="5"/>
      <c r="AA12" s="5"/>
      <c r="AB12" s="5">
        <f t="shared" si="0"/>
        <v>7</v>
      </c>
      <c r="AC12" s="5"/>
      <c r="AD12" s="5">
        <f t="shared" si="1"/>
        <v>11</v>
      </c>
      <c r="AE12" s="5">
        <f t="shared" si="2"/>
        <v>5</v>
      </c>
      <c r="AF12" s="5">
        <f t="shared" si="3"/>
        <v>12</v>
      </c>
      <c r="AG12" s="5">
        <f t="shared" si="4"/>
        <v>9</v>
      </c>
      <c r="AH12" s="5">
        <f t="shared" si="5"/>
        <v>6</v>
      </c>
      <c r="AI12" s="5">
        <f t="shared" si="6"/>
        <v>2</v>
      </c>
      <c r="AJ12" s="5"/>
      <c r="AK12" s="5">
        <f t="shared" si="7"/>
        <v>8</v>
      </c>
      <c r="AL12" s="5">
        <f t="shared" si="8"/>
        <v>8</v>
      </c>
      <c r="AM12" s="5">
        <f t="shared" si="9"/>
        <v>8</v>
      </c>
      <c r="AN12" s="5">
        <f t="shared" si="10"/>
        <v>10</v>
      </c>
      <c r="AO12" s="5">
        <f t="shared" si="11"/>
        <v>9</v>
      </c>
      <c r="AP12" s="5">
        <f t="shared" si="12"/>
        <v>1</v>
      </c>
      <c r="AQ12" s="5"/>
      <c r="AR12" s="5">
        <f t="shared" si="13"/>
        <v>8</v>
      </c>
      <c r="AS12" s="5">
        <f t="shared" si="14"/>
        <v>1</v>
      </c>
      <c r="AT12" s="5"/>
      <c r="AU12" s="5">
        <f t="shared" si="15"/>
        <v>7</v>
      </c>
      <c r="AV12" s="5">
        <f t="shared" si="16"/>
        <v>2</v>
      </c>
    </row>
    <row r="13" spans="1:48" x14ac:dyDescent="0.25">
      <c r="A13" s="6" t="s">
        <v>45</v>
      </c>
      <c r="B13" s="7">
        <v>34</v>
      </c>
      <c r="C13" s="1">
        <v>6875</v>
      </c>
      <c r="D13" s="9">
        <v>0.436</v>
      </c>
      <c r="E13" s="9">
        <v>13.3</v>
      </c>
      <c r="F13" s="9"/>
      <c r="G13" s="9">
        <v>0.70799999999999996</v>
      </c>
      <c r="H13" s="9">
        <v>0.192</v>
      </c>
      <c r="I13" s="9">
        <v>0.24099999999999999</v>
      </c>
      <c r="J13" s="9">
        <v>0.124</v>
      </c>
      <c r="K13" s="9">
        <v>0.151</v>
      </c>
      <c r="L13" s="9">
        <v>0.29199999999999998</v>
      </c>
      <c r="M13" s="9"/>
      <c r="N13" s="9">
        <v>0.47799999999999998</v>
      </c>
      <c r="O13" s="9">
        <v>0.76400000000000001</v>
      </c>
      <c r="P13" s="9">
        <v>0.36399999999999999</v>
      </c>
      <c r="Q13" s="9">
        <v>0.38400000000000001</v>
      </c>
      <c r="R13" s="9">
        <v>0.371</v>
      </c>
      <c r="S13" s="9">
        <v>0.33600000000000002</v>
      </c>
      <c r="T13" s="9"/>
      <c r="U13" s="9">
        <v>0.54800000000000004</v>
      </c>
      <c r="V13" s="9">
        <v>0.92</v>
      </c>
      <c r="W13" s="9"/>
      <c r="X13" s="10">
        <v>0.187</v>
      </c>
      <c r="Y13" s="10">
        <v>0.375</v>
      </c>
      <c r="Z13" s="5"/>
      <c r="AA13" s="5"/>
      <c r="AB13" s="5">
        <f t="shared" si="0"/>
        <v>4</v>
      </c>
      <c r="AC13" s="5"/>
      <c r="AD13" s="5">
        <f t="shared" si="1"/>
        <v>12</v>
      </c>
      <c r="AE13" s="5">
        <f t="shared" si="2"/>
        <v>12</v>
      </c>
      <c r="AF13" s="5">
        <f t="shared" si="3"/>
        <v>2</v>
      </c>
      <c r="AG13" s="5">
        <f t="shared" si="4"/>
        <v>8</v>
      </c>
      <c r="AH13" s="5">
        <f t="shared" si="5"/>
        <v>11</v>
      </c>
      <c r="AI13" s="5">
        <f t="shared" si="6"/>
        <v>1</v>
      </c>
      <c r="AJ13" s="5"/>
      <c r="AK13" s="5">
        <f t="shared" si="7"/>
        <v>3</v>
      </c>
      <c r="AL13" s="5">
        <f t="shared" si="8"/>
        <v>1</v>
      </c>
      <c r="AM13" s="5">
        <f t="shared" si="9"/>
        <v>6</v>
      </c>
      <c r="AN13" s="5">
        <f t="shared" si="10"/>
        <v>5</v>
      </c>
      <c r="AO13" s="5">
        <f t="shared" si="11"/>
        <v>6</v>
      </c>
      <c r="AP13" s="5">
        <f t="shared" si="12"/>
        <v>5</v>
      </c>
      <c r="AQ13" s="5"/>
      <c r="AR13" s="5">
        <f t="shared" si="13"/>
        <v>6</v>
      </c>
      <c r="AS13" s="5">
        <f t="shared" si="14"/>
        <v>1</v>
      </c>
      <c r="AT13" s="5"/>
      <c r="AU13" s="5">
        <f t="shared" si="15"/>
        <v>5</v>
      </c>
      <c r="AV13" s="5">
        <f t="shared" si="16"/>
        <v>9</v>
      </c>
    </row>
    <row r="14" spans="1:48" x14ac:dyDescent="0.25">
      <c r="A14" s="6" t="s">
        <v>43</v>
      </c>
      <c r="B14" s="7">
        <v>34</v>
      </c>
      <c r="C14" s="1">
        <v>6875</v>
      </c>
      <c r="D14" s="9">
        <v>0.42699999999999999</v>
      </c>
      <c r="E14" s="9">
        <v>11.4</v>
      </c>
      <c r="F14" s="9"/>
      <c r="G14" s="9">
        <v>0.74399999999999999</v>
      </c>
      <c r="H14" s="9">
        <v>0.27600000000000002</v>
      </c>
      <c r="I14" s="9">
        <v>0.25900000000000001</v>
      </c>
      <c r="J14" s="9">
        <v>0.107</v>
      </c>
      <c r="K14" s="9">
        <v>0.10299999999999999</v>
      </c>
      <c r="L14" s="9">
        <v>0.25600000000000001</v>
      </c>
      <c r="M14" s="9"/>
      <c r="N14" s="9">
        <v>0.46899999999999997</v>
      </c>
      <c r="O14" s="9">
        <v>0.68799999999999994</v>
      </c>
      <c r="P14" s="9">
        <v>0.35699999999999998</v>
      </c>
      <c r="Q14" s="9">
        <v>0.316</v>
      </c>
      <c r="R14" s="9">
        <v>0.32100000000000001</v>
      </c>
      <c r="S14" s="9">
        <v>0.30499999999999999</v>
      </c>
      <c r="T14" s="9"/>
      <c r="U14" s="9">
        <v>0.44700000000000001</v>
      </c>
      <c r="V14" s="9">
        <v>0.84199999999999997</v>
      </c>
      <c r="W14" s="9"/>
      <c r="X14" s="10">
        <v>0.22</v>
      </c>
      <c r="Y14" s="10">
        <v>0.35599999999999998</v>
      </c>
      <c r="Z14" s="5"/>
      <c r="AA14" s="5"/>
      <c r="AB14" s="5">
        <f t="shared" si="0"/>
        <v>8</v>
      </c>
      <c r="AC14" s="5"/>
      <c r="AD14" s="5">
        <f t="shared" si="1"/>
        <v>10</v>
      </c>
      <c r="AE14" s="5">
        <f t="shared" si="2"/>
        <v>7</v>
      </c>
      <c r="AF14" s="5">
        <f t="shared" si="3"/>
        <v>1</v>
      </c>
      <c r="AG14" s="5">
        <f t="shared" si="4"/>
        <v>11</v>
      </c>
      <c r="AH14" s="5">
        <f t="shared" si="5"/>
        <v>12</v>
      </c>
      <c r="AI14" s="5">
        <f t="shared" si="6"/>
        <v>3</v>
      </c>
      <c r="AJ14" s="5"/>
      <c r="AK14" s="5">
        <f t="shared" si="7"/>
        <v>5</v>
      </c>
      <c r="AL14" s="5">
        <f t="shared" si="8"/>
        <v>2</v>
      </c>
      <c r="AM14" s="5">
        <f t="shared" si="9"/>
        <v>7</v>
      </c>
      <c r="AN14" s="5">
        <f t="shared" si="10"/>
        <v>12</v>
      </c>
      <c r="AO14" s="5">
        <f t="shared" si="11"/>
        <v>11</v>
      </c>
      <c r="AP14" s="5">
        <f t="shared" si="12"/>
        <v>10</v>
      </c>
      <c r="AQ14" s="5"/>
      <c r="AR14" s="5">
        <f t="shared" si="13"/>
        <v>11</v>
      </c>
      <c r="AS14" s="5">
        <f t="shared" si="14"/>
        <v>6</v>
      </c>
      <c r="AT14" s="5"/>
      <c r="AU14" s="5">
        <f t="shared" si="15"/>
        <v>3</v>
      </c>
      <c r="AV14" s="5">
        <f t="shared" si="16"/>
        <v>10</v>
      </c>
    </row>
    <row r="15" spans="1:48" x14ac:dyDescent="0.25">
      <c r="A15" s="6" t="s">
        <v>50</v>
      </c>
      <c r="B15" s="7">
        <v>34</v>
      </c>
      <c r="C15" s="1">
        <v>6975</v>
      </c>
      <c r="D15" s="9">
        <v>0.42499999999999999</v>
      </c>
      <c r="E15" s="9">
        <v>13.1</v>
      </c>
      <c r="F15" s="9"/>
      <c r="G15" s="9">
        <v>0.747</v>
      </c>
      <c r="H15" s="9">
        <v>0.22900000000000001</v>
      </c>
      <c r="I15" s="9">
        <v>0.17399999999999999</v>
      </c>
      <c r="J15" s="9">
        <v>0.16900000000000001</v>
      </c>
      <c r="K15" s="9">
        <v>0.17599999999999999</v>
      </c>
      <c r="L15" s="9">
        <v>0.253</v>
      </c>
      <c r="M15" s="9"/>
      <c r="N15" s="9">
        <v>0.46100000000000002</v>
      </c>
      <c r="O15" s="9">
        <v>0.623</v>
      </c>
      <c r="P15" s="9">
        <v>0.42</v>
      </c>
      <c r="Q15" s="9">
        <v>0.38100000000000001</v>
      </c>
      <c r="R15" s="9">
        <v>0.36899999999999999</v>
      </c>
      <c r="S15" s="9">
        <v>0.317</v>
      </c>
      <c r="T15" s="9"/>
      <c r="U15" s="9">
        <v>0.57999999999999996</v>
      </c>
      <c r="V15" s="9">
        <v>0.747</v>
      </c>
      <c r="W15" s="9"/>
      <c r="X15" s="10">
        <v>0.105</v>
      </c>
      <c r="Y15" s="10">
        <v>0.39</v>
      </c>
      <c r="Z15" s="5"/>
      <c r="AA15" s="5"/>
      <c r="AB15" s="5">
        <f t="shared" si="0"/>
        <v>9</v>
      </c>
      <c r="AC15" s="5"/>
      <c r="AD15" s="5">
        <f t="shared" si="1"/>
        <v>9</v>
      </c>
      <c r="AE15" s="5">
        <f t="shared" si="2"/>
        <v>11</v>
      </c>
      <c r="AF15" s="5">
        <f t="shared" si="3"/>
        <v>7</v>
      </c>
      <c r="AG15" s="5">
        <f t="shared" si="4"/>
        <v>1</v>
      </c>
      <c r="AH15" s="5">
        <f t="shared" si="5"/>
        <v>7</v>
      </c>
      <c r="AI15" s="5">
        <f t="shared" si="6"/>
        <v>4</v>
      </c>
      <c r="AJ15" s="5"/>
      <c r="AK15" s="5">
        <f t="shared" si="7"/>
        <v>7</v>
      </c>
      <c r="AL15" s="5">
        <f t="shared" si="8"/>
        <v>7</v>
      </c>
      <c r="AM15" s="5">
        <f t="shared" si="9"/>
        <v>2</v>
      </c>
      <c r="AN15" s="5">
        <f t="shared" si="10"/>
        <v>6</v>
      </c>
      <c r="AO15" s="5">
        <f t="shared" si="11"/>
        <v>7</v>
      </c>
      <c r="AP15" s="5">
        <f t="shared" si="12"/>
        <v>8</v>
      </c>
      <c r="AQ15" s="5"/>
      <c r="AR15" s="5">
        <f t="shared" si="13"/>
        <v>5</v>
      </c>
      <c r="AS15" s="5">
        <f t="shared" si="14"/>
        <v>9</v>
      </c>
      <c r="AT15" s="5"/>
      <c r="AU15" s="5">
        <f t="shared" si="15"/>
        <v>11</v>
      </c>
      <c r="AV15" s="5">
        <f t="shared" si="16"/>
        <v>6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6900</v>
      </c>
      <c r="D24" s="9">
        <f t="shared" si="17"/>
        <v>0.43733333333333335</v>
      </c>
      <c r="E24" s="9">
        <f t="shared" si="17"/>
        <v>11.95833333333333</v>
      </c>
      <c r="F24" s="9"/>
      <c r="G24" s="9">
        <f t="shared" si="17"/>
        <v>0.78724999999999989</v>
      </c>
      <c r="H24" s="9">
        <f t="shared" si="17"/>
        <v>0.27608333333333329</v>
      </c>
      <c r="I24" s="9">
        <f t="shared" si="17"/>
        <v>0.19283333333333333</v>
      </c>
      <c r="J24" s="9">
        <f t="shared" si="17"/>
        <v>0.13525000000000001</v>
      </c>
      <c r="K24" s="9">
        <f t="shared" si="17"/>
        <v>0.18325000000000002</v>
      </c>
      <c r="L24" s="9">
        <f t="shared" si="17"/>
        <v>0.21274999999999999</v>
      </c>
      <c r="M24" s="9"/>
      <c r="N24" s="9">
        <f t="shared" si="17"/>
        <v>0.46675</v>
      </c>
      <c r="O24" s="9">
        <f t="shared" si="17"/>
        <v>0.64075000000000004</v>
      </c>
      <c r="P24" s="9">
        <f t="shared" si="17"/>
        <v>0.371</v>
      </c>
      <c r="Q24" s="9">
        <f t="shared" si="17"/>
        <v>0.37775000000000003</v>
      </c>
      <c r="R24" s="9">
        <f t="shared" si="17"/>
        <v>0.36958333333333332</v>
      </c>
      <c r="S24" s="9">
        <f t="shared" si="17"/>
        <v>0.32741666666666669</v>
      </c>
      <c r="T24" s="9"/>
      <c r="U24" s="9">
        <f t="shared" si="17"/>
        <v>0.5432499999999999</v>
      </c>
      <c r="V24" s="9">
        <f t="shared" si="17"/>
        <v>0.81383333333333352</v>
      </c>
      <c r="W24" s="9"/>
      <c r="X24" s="9">
        <f t="shared" si="17"/>
        <v>0.16324999999999998</v>
      </c>
      <c r="Y24" s="9">
        <f t="shared" si="17"/>
        <v>0.39316666666666661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51</v>
      </c>
      <c r="B4" s="7">
        <v>34</v>
      </c>
      <c r="C4" s="1">
        <v>6975</v>
      </c>
      <c r="D4" s="9">
        <v>0.42799999999999999</v>
      </c>
      <c r="E4" s="9">
        <v>12</v>
      </c>
      <c r="F4" s="9"/>
      <c r="G4" s="9">
        <v>0.78400000000000003</v>
      </c>
      <c r="H4" s="9">
        <v>0.29299999999999998</v>
      </c>
      <c r="I4" s="9">
        <v>0.17199999999999999</v>
      </c>
      <c r="J4" s="9">
        <v>0.129</v>
      </c>
      <c r="K4" s="9">
        <v>0.19</v>
      </c>
      <c r="L4" s="9">
        <v>0.216</v>
      </c>
      <c r="M4" s="9"/>
      <c r="N4" s="9">
        <v>0.44800000000000001</v>
      </c>
      <c r="O4" s="9">
        <v>0.57599999999999996</v>
      </c>
      <c r="P4" s="9">
        <v>0.33900000000000002</v>
      </c>
      <c r="Q4" s="9">
        <v>0.434</v>
      </c>
      <c r="R4" s="9">
        <v>0.35699999999999998</v>
      </c>
      <c r="S4" s="9">
        <v>0.35499999999999998</v>
      </c>
      <c r="T4" s="9"/>
      <c r="U4" s="9">
        <v>0.59399999999999997</v>
      </c>
      <c r="V4" s="9">
        <v>0.87</v>
      </c>
      <c r="W4" s="9"/>
      <c r="X4" s="10">
        <v>0.219</v>
      </c>
      <c r="Y4" s="10">
        <v>0.39400000000000002</v>
      </c>
      <c r="Z4" s="5"/>
      <c r="AA4" s="5"/>
      <c r="AB4" s="5">
        <f t="shared" ref="AB4:AB18" si="0">RANK(D4,D$4:D$18,1)</f>
        <v>6</v>
      </c>
      <c r="AC4" s="5"/>
      <c r="AD4" s="5">
        <f t="shared" ref="AD4:AD18" si="1">RANK(G4,G$4:G$18,1)</f>
        <v>4</v>
      </c>
      <c r="AE4" s="5">
        <f t="shared" ref="AE4:AE18" si="2">RANK(H4,H$4:H$18,1)</f>
        <v>8</v>
      </c>
      <c r="AF4" s="5">
        <f t="shared" ref="AF4:AF18" si="3">RANK(I4,I$4:I$18,1)</f>
        <v>4</v>
      </c>
      <c r="AG4" s="5">
        <f t="shared" ref="AG4:AG18" si="4">RANK(J4,J$4:J$18,1)</f>
        <v>4</v>
      </c>
      <c r="AH4" s="5">
        <f t="shared" ref="AH4:AH18" si="5">RANK(K4,K$4:K$18,1)</f>
        <v>8</v>
      </c>
      <c r="AI4" s="5">
        <f t="shared" ref="AI4:AI18" si="6">RANK(L4,L$4:L$18,1)</f>
        <v>9</v>
      </c>
      <c r="AJ4" s="5"/>
      <c r="AK4" s="5">
        <f t="shared" ref="AK4:AK18" si="7">RANK(N4,N$4:N$18,1)</f>
        <v>3</v>
      </c>
      <c r="AL4" s="5">
        <f t="shared" ref="AL4:AL18" si="8">RANK(O4,O$4:O$18,1)</f>
        <v>1</v>
      </c>
      <c r="AM4" s="5">
        <f t="shared" ref="AM4:AM18" si="9">RANK(P4,P$4:P$18,1)</f>
        <v>1</v>
      </c>
      <c r="AN4" s="5">
        <f t="shared" ref="AN4:AN18" si="10">RANK(Q4,Q$4:Q$18,1)</f>
        <v>12</v>
      </c>
      <c r="AO4" s="5">
        <f t="shared" ref="AO4:AO18" si="11">RANK(R4,R$4:R$18,1)</f>
        <v>2</v>
      </c>
      <c r="AP4" s="5">
        <f t="shared" ref="AP4:AP18" si="12">RANK(S4,S$4:S$18,1)</f>
        <v>11</v>
      </c>
      <c r="AQ4" s="5"/>
      <c r="AR4" s="5">
        <f t="shared" ref="AR4:AR18" si="13">RANK(U4,U$4:U$18,1)</f>
        <v>12</v>
      </c>
      <c r="AS4" s="5">
        <f t="shared" ref="AS4:AS18" si="14">RANK(V4,V$4:V$18,1)</f>
        <v>11</v>
      </c>
      <c r="AT4" s="5"/>
      <c r="AU4" s="5">
        <f>RANK(X4,X$4:X$18,1)</f>
        <v>12</v>
      </c>
      <c r="AV4" s="5">
        <f>RANK(Y4,Y$4:Y$18,1)</f>
        <v>8</v>
      </c>
    </row>
    <row r="5" spans="1:48" x14ac:dyDescent="0.25">
      <c r="A5" s="6" t="s">
        <v>46</v>
      </c>
      <c r="B5" s="7">
        <v>34</v>
      </c>
      <c r="C5" s="1">
        <v>6875</v>
      </c>
      <c r="D5" s="9">
        <v>0.42</v>
      </c>
      <c r="E5" s="9">
        <v>12</v>
      </c>
      <c r="F5" s="9"/>
      <c r="G5" s="9">
        <v>0.78700000000000003</v>
      </c>
      <c r="H5" s="9">
        <v>0.30299999999999999</v>
      </c>
      <c r="I5" s="9">
        <v>0.16800000000000001</v>
      </c>
      <c r="J5" s="9">
        <v>0.13</v>
      </c>
      <c r="K5" s="9">
        <v>0.185</v>
      </c>
      <c r="L5" s="9">
        <v>0.21299999999999999</v>
      </c>
      <c r="M5" s="9"/>
      <c r="N5" s="9">
        <v>0.44800000000000001</v>
      </c>
      <c r="O5" s="9">
        <v>0.61099999999999999</v>
      </c>
      <c r="P5" s="9">
        <v>0.33900000000000002</v>
      </c>
      <c r="Q5" s="9">
        <v>0.32900000000000001</v>
      </c>
      <c r="R5" s="9">
        <v>0.36399999999999999</v>
      </c>
      <c r="S5" s="9">
        <v>0.315</v>
      </c>
      <c r="T5" s="9"/>
      <c r="U5" s="9">
        <v>0.56999999999999995</v>
      </c>
      <c r="V5" s="9">
        <v>0.86799999999999999</v>
      </c>
      <c r="W5" s="9"/>
      <c r="X5" s="10">
        <v>0.17899999999999999</v>
      </c>
      <c r="Y5" s="10">
        <v>0.32200000000000001</v>
      </c>
      <c r="Z5" s="5"/>
      <c r="AA5" s="5"/>
      <c r="AB5" s="5">
        <f t="shared" si="0"/>
        <v>3</v>
      </c>
      <c r="AC5" s="5"/>
      <c r="AD5" s="5">
        <f t="shared" si="1"/>
        <v>5</v>
      </c>
      <c r="AE5" s="5">
        <f t="shared" si="2"/>
        <v>9</v>
      </c>
      <c r="AF5" s="5">
        <f t="shared" si="3"/>
        <v>2</v>
      </c>
      <c r="AG5" s="5">
        <f t="shared" si="4"/>
        <v>5</v>
      </c>
      <c r="AH5" s="5">
        <f t="shared" si="5"/>
        <v>6</v>
      </c>
      <c r="AI5" s="5">
        <f t="shared" si="6"/>
        <v>7</v>
      </c>
      <c r="AJ5" s="5"/>
      <c r="AK5" s="5">
        <f t="shared" si="7"/>
        <v>3</v>
      </c>
      <c r="AL5" s="5">
        <f t="shared" si="8"/>
        <v>4</v>
      </c>
      <c r="AM5" s="5">
        <f t="shared" si="9"/>
        <v>1</v>
      </c>
      <c r="AN5" s="5">
        <f t="shared" si="10"/>
        <v>1</v>
      </c>
      <c r="AO5" s="5">
        <f t="shared" si="11"/>
        <v>5</v>
      </c>
      <c r="AP5" s="5">
        <f t="shared" si="12"/>
        <v>3</v>
      </c>
      <c r="AQ5" s="5"/>
      <c r="AR5" s="5">
        <f t="shared" si="13"/>
        <v>11</v>
      </c>
      <c r="AS5" s="5">
        <f t="shared" si="14"/>
        <v>10</v>
      </c>
      <c r="AT5" s="5"/>
      <c r="AU5" s="5">
        <f t="shared" ref="AU5:AU18" si="15">RANK(X5,X$4:X$18,1)</f>
        <v>9</v>
      </c>
      <c r="AV5" s="5">
        <f t="shared" ref="AV5:AV18" si="16">RANK(Y5,Y$4:Y$18,1)</f>
        <v>2</v>
      </c>
    </row>
    <row r="6" spans="1:48" x14ac:dyDescent="0.25">
      <c r="A6" s="6" t="s">
        <v>42</v>
      </c>
      <c r="B6" s="7">
        <v>34</v>
      </c>
      <c r="C6" s="1">
        <v>6875</v>
      </c>
      <c r="D6" s="9">
        <v>0.443</v>
      </c>
      <c r="E6" s="9">
        <v>11</v>
      </c>
      <c r="F6" s="9"/>
      <c r="G6" s="9">
        <v>0.80500000000000005</v>
      </c>
      <c r="H6" s="9">
        <v>0.31900000000000001</v>
      </c>
      <c r="I6" s="9">
        <v>0.192</v>
      </c>
      <c r="J6" s="9">
        <v>0.13500000000000001</v>
      </c>
      <c r="K6" s="9">
        <v>0.158</v>
      </c>
      <c r="L6" s="9">
        <v>0.19500000000000001</v>
      </c>
      <c r="M6" s="9"/>
      <c r="N6" s="9">
        <v>0.47199999999999998</v>
      </c>
      <c r="O6" s="9">
        <v>0.64100000000000001</v>
      </c>
      <c r="P6" s="9">
        <v>0.36699999999999999</v>
      </c>
      <c r="Q6" s="9">
        <v>0.35399999999999998</v>
      </c>
      <c r="R6" s="9">
        <v>0.36</v>
      </c>
      <c r="S6" s="9">
        <v>0.32200000000000001</v>
      </c>
      <c r="T6" s="9"/>
      <c r="U6" s="9">
        <v>0.52200000000000002</v>
      </c>
      <c r="V6" s="9">
        <v>0.84099999999999997</v>
      </c>
      <c r="W6" s="9"/>
      <c r="X6" s="10">
        <v>0.161</v>
      </c>
      <c r="Y6" s="10">
        <v>0.40600000000000003</v>
      </c>
      <c r="Z6" s="5"/>
      <c r="AA6" s="5"/>
      <c r="AB6" s="5">
        <f t="shared" si="0"/>
        <v>7</v>
      </c>
      <c r="AC6" s="5"/>
      <c r="AD6" s="5">
        <f t="shared" si="1"/>
        <v>10</v>
      </c>
      <c r="AE6" s="5">
        <f t="shared" si="2"/>
        <v>12</v>
      </c>
      <c r="AF6" s="5">
        <f t="shared" si="3"/>
        <v>8</v>
      </c>
      <c r="AG6" s="5">
        <f t="shared" si="4"/>
        <v>8</v>
      </c>
      <c r="AH6" s="5">
        <f t="shared" si="5"/>
        <v>3</v>
      </c>
      <c r="AI6" s="5">
        <f t="shared" si="6"/>
        <v>2</v>
      </c>
      <c r="AJ6" s="5"/>
      <c r="AK6" s="5">
        <f t="shared" si="7"/>
        <v>7</v>
      </c>
      <c r="AL6" s="5">
        <f t="shared" si="8"/>
        <v>8</v>
      </c>
      <c r="AM6" s="5">
        <f t="shared" si="9"/>
        <v>8</v>
      </c>
      <c r="AN6" s="5">
        <f t="shared" si="10"/>
        <v>3</v>
      </c>
      <c r="AO6" s="5">
        <f t="shared" si="11"/>
        <v>3</v>
      </c>
      <c r="AP6" s="5">
        <f t="shared" si="12"/>
        <v>6</v>
      </c>
      <c r="AQ6" s="5"/>
      <c r="AR6" s="5">
        <f t="shared" si="13"/>
        <v>2</v>
      </c>
      <c r="AS6" s="5">
        <f t="shared" si="14"/>
        <v>9</v>
      </c>
      <c r="AT6" s="5"/>
      <c r="AU6" s="5">
        <f t="shared" si="15"/>
        <v>7</v>
      </c>
      <c r="AV6" s="5">
        <f t="shared" si="16"/>
        <v>9</v>
      </c>
    </row>
    <row r="7" spans="1:48" x14ac:dyDescent="0.25">
      <c r="A7" s="6" t="s">
        <v>48</v>
      </c>
      <c r="B7" s="7">
        <v>34</v>
      </c>
      <c r="C7" s="1">
        <v>6900</v>
      </c>
      <c r="D7" s="9">
        <v>0.443</v>
      </c>
      <c r="E7" s="9">
        <v>12</v>
      </c>
      <c r="F7" s="9"/>
      <c r="G7" s="9">
        <v>0.80300000000000005</v>
      </c>
      <c r="H7" s="9">
        <v>0.30599999999999999</v>
      </c>
      <c r="I7" s="9">
        <v>0.17100000000000001</v>
      </c>
      <c r="J7" s="9">
        <v>0.13300000000000001</v>
      </c>
      <c r="K7" s="9">
        <v>0.193</v>
      </c>
      <c r="L7" s="9">
        <v>0.19700000000000001</v>
      </c>
      <c r="M7" s="9"/>
      <c r="N7" s="9">
        <v>0.47699999999999998</v>
      </c>
      <c r="O7" s="9">
        <v>0.625</v>
      </c>
      <c r="P7" s="9">
        <v>0.36099999999999999</v>
      </c>
      <c r="Q7" s="9">
        <v>0.42199999999999999</v>
      </c>
      <c r="R7" s="9">
        <v>0.38100000000000001</v>
      </c>
      <c r="S7" s="9">
        <v>0.30499999999999999</v>
      </c>
      <c r="T7" s="9"/>
      <c r="U7" s="9">
        <v>0.54</v>
      </c>
      <c r="V7" s="9">
        <v>0.76</v>
      </c>
      <c r="W7" s="9"/>
      <c r="X7" s="10">
        <v>0.14899999999999999</v>
      </c>
      <c r="Y7" s="10">
        <v>0.377</v>
      </c>
      <c r="Z7" s="5"/>
      <c r="AA7" s="5"/>
      <c r="AB7" s="5">
        <f t="shared" si="0"/>
        <v>7</v>
      </c>
      <c r="AC7" s="5"/>
      <c r="AD7" s="5">
        <f t="shared" si="1"/>
        <v>9</v>
      </c>
      <c r="AE7" s="5">
        <f t="shared" si="2"/>
        <v>11</v>
      </c>
      <c r="AF7" s="5">
        <f t="shared" si="3"/>
        <v>3</v>
      </c>
      <c r="AG7" s="5">
        <f t="shared" si="4"/>
        <v>7</v>
      </c>
      <c r="AH7" s="5">
        <f t="shared" si="5"/>
        <v>9</v>
      </c>
      <c r="AI7" s="5">
        <f t="shared" si="6"/>
        <v>4</v>
      </c>
      <c r="AJ7" s="5"/>
      <c r="AK7" s="5">
        <f t="shared" si="7"/>
        <v>8</v>
      </c>
      <c r="AL7" s="5">
        <f t="shared" si="8"/>
        <v>7</v>
      </c>
      <c r="AM7" s="5">
        <f t="shared" si="9"/>
        <v>7</v>
      </c>
      <c r="AN7" s="5">
        <f t="shared" si="10"/>
        <v>10</v>
      </c>
      <c r="AO7" s="5">
        <f t="shared" si="11"/>
        <v>10</v>
      </c>
      <c r="AP7" s="5">
        <f t="shared" si="12"/>
        <v>2</v>
      </c>
      <c r="AQ7" s="5"/>
      <c r="AR7" s="5">
        <f t="shared" si="13"/>
        <v>6</v>
      </c>
      <c r="AS7" s="5">
        <f t="shared" si="14"/>
        <v>2</v>
      </c>
      <c r="AT7" s="5"/>
      <c r="AU7" s="5">
        <f t="shared" si="15"/>
        <v>4</v>
      </c>
      <c r="AV7" s="5">
        <f t="shared" si="16"/>
        <v>5</v>
      </c>
    </row>
    <row r="8" spans="1:48" x14ac:dyDescent="0.25">
      <c r="A8" s="6" t="s">
        <v>49</v>
      </c>
      <c r="B8" s="7">
        <v>34</v>
      </c>
      <c r="C8" s="1">
        <v>6925</v>
      </c>
      <c r="D8" s="9">
        <v>0.45</v>
      </c>
      <c r="E8" s="9">
        <v>12</v>
      </c>
      <c r="F8" s="9"/>
      <c r="G8" s="9">
        <v>0.77600000000000002</v>
      </c>
      <c r="H8" s="9">
        <v>0.27700000000000002</v>
      </c>
      <c r="I8" s="9">
        <v>0.222</v>
      </c>
      <c r="J8" s="9">
        <v>0.12</v>
      </c>
      <c r="K8" s="9">
        <v>0.157</v>
      </c>
      <c r="L8" s="9">
        <v>0.224</v>
      </c>
      <c r="M8" s="9"/>
      <c r="N8" s="9">
        <v>0.48799999999999999</v>
      </c>
      <c r="O8" s="9">
        <v>0.68200000000000005</v>
      </c>
      <c r="P8" s="9">
        <v>0.38600000000000001</v>
      </c>
      <c r="Q8" s="9">
        <v>0.39</v>
      </c>
      <c r="R8" s="9">
        <v>0.36799999999999999</v>
      </c>
      <c r="S8" s="9">
        <v>0.315</v>
      </c>
      <c r="T8" s="9"/>
      <c r="U8" s="9">
        <v>0.56100000000000005</v>
      </c>
      <c r="V8" s="9">
        <v>0.88</v>
      </c>
      <c r="W8" s="9"/>
      <c r="X8" s="10">
        <v>0.18099999999999999</v>
      </c>
      <c r="Y8" s="10">
        <v>0.35199999999999998</v>
      </c>
      <c r="Z8" s="5"/>
      <c r="AA8" s="5"/>
      <c r="AB8" s="5">
        <f t="shared" si="0"/>
        <v>9</v>
      </c>
      <c r="AC8" s="5"/>
      <c r="AD8" s="5">
        <f t="shared" si="1"/>
        <v>2</v>
      </c>
      <c r="AE8" s="5">
        <f t="shared" si="2"/>
        <v>6</v>
      </c>
      <c r="AF8" s="5">
        <f t="shared" si="3"/>
        <v>10</v>
      </c>
      <c r="AG8" s="5">
        <f t="shared" si="4"/>
        <v>1</v>
      </c>
      <c r="AH8" s="5">
        <f t="shared" si="5"/>
        <v>1</v>
      </c>
      <c r="AI8" s="5">
        <f t="shared" si="6"/>
        <v>11</v>
      </c>
      <c r="AJ8" s="5"/>
      <c r="AK8" s="5">
        <f t="shared" si="7"/>
        <v>9</v>
      </c>
      <c r="AL8" s="5">
        <f t="shared" si="8"/>
        <v>10</v>
      </c>
      <c r="AM8" s="5">
        <f t="shared" si="9"/>
        <v>9</v>
      </c>
      <c r="AN8" s="5">
        <f t="shared" si="10"/>
        <v>8</v>
      </c>
      <c r="AO8" s="5">
        <f t="shared" si="11"/>
        <v>7</v>
      </c>
      <c r="AP8" s="5">
        <f t="shared" si="12"/>
        <v>3</v>
      </c>
      <c r="AQ8" s="5"/>
      <c r="AR8" s="5">
        <f t="shared" si="13"/>
        <v>9</v>
      </c>
      <c r="AS8" s="5">
        <f t="shared" si="14"/>
        <v>12</v>
      </c>
      <c r="AT8" s="5"/>
      <c r="AU8" s="5">
        <f t="shared" si="15"/>
        <v>10</v>
      </c>
      <c r="AV8" s="5">
        <f t="shared" si="16"/>
        <v>3</v>
      </c>
    </row>
    <row r="9" spans="1:48" x14ac:dyDescent="0.25">
      <c r="A9" s="6" t="s">
        <v>52</v>
      </c>
      <c r="B9" s="7">
        <v>34</v>
      </c>
      <c r="C9" s="1">
        <v>6875</v>
      </c>
      <c r="D9" s="9">
        <v>0.42299999999999999</v>
      </c>
      <c r="E9" s="9">
        <v>13</v>
      </c>
      <c r="F9" s="9"/>
      <c r="G9" s="9">
        <v>0.73299999999999998</v>
      </c>
      <c r="H9" s="9">
        <v>0.26500000000000001</v>
      </c>
      <c r="I9" s="9">
        <v>0.17199999999999999</v>
      </c>
      <c r="J9" s="9">
        <v>0.121</v>
      </c>
      <c r="K9" s="9">
        <v>0.17399999999999999</v>
      </c>
      <c r="L9" s="9">
        <v>0.26700000000000002</v>
      </c>
      <c r="M9" s="9"/>
      <c r="N9" s="9">
        <v>0.45200000000000001</v>
      </c>
      <c r="O9" s="9">
        <v>0.61199999999999999</v>
      </c>
      <c r="P9" s="9">
        <v>0.35</v>
      </c>
      <c r="Q9" s="9">
        <v>0.36899999999999999</v>
      </c>
      <c r="R9" s="9">
        <v>0.36499999999999999</v>
      </c>
      <c r="S9" s="9">
        <v>0.34599999999999997</v>
      </c>
      <c r="T9" s="9"/>
      <c r="U9" s="9">
        <v>0.54500000000000004</v>
      </c>
      <c r="V9" s="9">
        <v>0.82399999999999995</v>
      </c>
      <c r="W9" s="9"/>
      <c r="X9" s="10">
        <v>0.15</v>
      </c>
      <c r="Y9" s="10">
        <v>0.45700000000000002</v>
      </c>
      <c r="Z9" s="5"/>
      <c r="AA9" s="5"/>
      <c r="AB9" s="5">
        <f t="shared" si="0"/>
        <v>4</v>
      </c>
      <c r="AC9" s="5"/>
      <c r="AD9" s="5">
        <f t="shared" si="1"/>
        <v>1</v>
      </c>
      <c r="AE9" s="5">
        <f t="shared" si="2"/>
        <v>4</v>
      </c>
      <c r="AF9" s="5">
        <f t="shared" si="3"/>
        <v>4</v>
      </c>
      <c r="AG9" s="5">
        <f t="shared" si="4"/>
        <v>2</v>
      </c>
      <c r="AH9" s="5">
        <f t="shared" si="5"/>
        <v>4</v>
      </c>
      <c r="AI9" s="5">
        <f t="shared" si="6"/>
        <v>12</v>
      </c>
      <c r="AJ9" s="5"/>
      <c r="AK9" s="5">
        <f t="shared" si="7"/>
        <v>6</v>
      </c>
      <c r="AL9" s="5">
        <f t="shared" si="8"/>
        <v>5</v>
      </c>
      <c r="AM9" s="5">
        <f t="shared" si="9"/>
        <v>4</v>
      </c>
      <c r="AN9" s="5">
        <f t="shared" si="10"/>
        <v>6</v>
      </c>
      <c r="AO9" s="5">
        <f t="shared" si="11"/>
        <v>6</v>
      </c>
      <c r="AP9" s="5">
        <f t="shared" si="12"/>
        <v>9</v>
      </c>
      <c r="AQ9" s="5"/>
      <c r="AR9" s="5">
        <f t="shared" si="13"/>
        <v>7</v>
      </c>
      <c r="AS9" s="5">
        <f t="shared" si="14"/>
        <v>7</v>
      </c>
      <c r="AT9" s="5"/>
      <c r="AU9" s="5">
        <f t="shared" si="15"/>
        <v>5</v>
      </c>
      <c r="AV9" s="5">
        <f t="shared" si="16"/>
        <v>10</v>
      </c>
    </row>
    <row r="10" spans="1:48" x14ac:dyDescent="0.25">
      <c r="A10" s="6" t="s">
        <v>44</v>
      </c>
      <c r="B10" s="7">
        <v>34</v>
      </c>
      <c r="C10" s="1">
        <v>6875</v>
      </c>
      <c r="D10" s="9">
        <v>0.42599999999999999</v>
      </c>
      <c r="E10" s="9">
        <v>13</v>
      </c>
      <c r="F10" s="9"/>
      <c r="G10" s="9">
        <v>0.77900000000000003</v>
      </c>
      <c r="H10" s="9">
        <v>0.247</v>
      </c>
      <c r="I10" s="9">
        <v>0.16600000000000001</v>
      </c>
      <c r="J10" s="9">
        <v>0.15</v>
      </c>
      <c r="K10" s="9">
        <v>0.215</v>
      </c>
      <c r="L10" s="9">
        <v>0.221</v>
      </c>
      <c r="M10" s="9"/>
      <c r="N10" s="9">
        <v>0.44800000000000001</v>
      </c>
      <c r="O10" s="9">
        <v>0.59599999999999997</v>
      </c>
      <c r="P10" s="9">
        <v>0.41299999999999998</v>
      </c>
      <c r="Q10" s="9">
        <v>0.36799999999999999</v>
      </c>
      <c r="R10" s="9">
        <v>0.36099999999999999</v>
      </c>
      <c r="S10" s="9">
        <v>0.34899999999999998</v>
      </c>
      <c r="T10" s="9"/>
      <c r="U10" s="9">
        <v>0.55900000000000005</v>
      </c>
      <c r="V10" s="9">
        <v>0.79900000000000004</v>
      </c>
      <c r="W10" s="9"/>
      <c r="X10" s="10">
        <v>0.124</v>
      </c>
      <c r="Y10" s="10">
        <v>0.38700000000000001</v>
      </c>
      <c r="Z10" s="5"/>
      <c r="AA10" s="5"/>
      <c r="AB10" s="5">
        <f t="shared" si="0"/>
        <v>5</v>
      </c>
      <c r="AC10" s="5"/>
      <c r="AD10" s="5">
        <f t="shared" si="1"/>
        <v>3</v>
      </c>
      <c r="AE10" s="5">
        <f t="shared" si="2"/>
        <v>2</v>
      </c>
      <c r="AF10" s="5">
        <f t="shared" si="3"/>
        <v>1</v>
      </c>
      <c r="AG10" s="5">
        <f t="shared" si="4"/>
        <v>10</v>
      </c>
      <c r="AH10" s="5">
        <f t="shared" si="5"/>
        <v>12</v>
      </c>
      <c r="AI10" s="5">
        <f t="shared" si="6"/>
        <v>10</v>
      </c>
      <c r="AJ10" s="5"/>
      <c r="AK10" s="5">
        <f t="shared" si="7"/>
        <v>3</v>
      </c>
      <c r="AL10" s="5">
        <f t="shared" si="8"/>
        <v>2</v>
      </c>
      <c r="AM10" s="5">
        <f t="shared" si="9"/>
        <v>11</v>
      </c>
      <c r="AN10" s="5">
        <f t="shared" si="10"/>
        <v>5</v>
      </c>
      <c r="AO10" s="5">
        <f t="shared" si="11"/>
        <v>4</v>
      </c>
      <c r="AP10" s="5">
        <f t="shared" si="12"/>
        <v>10</v>
      </c>
      <c r="AQ10" s="5"/>
      <c r="AR10" s="5">
        <f t="shared" si="13"/>
        <v>8</v>
      </c>
      <c r="AS10" s="5">
        <f t="shared" si="14"/>
        <v>3</v>
      </c>
      <c r="AT10" s="5"/>
      <c r="AU10" s="5">
        <f t="shared" si="15"/>
        <v>1</v>
      </c>
      <c r="AV10" s="5">
        <f t="shared" si="16"/>
        <v>7</v>
      </c>
    </row>
    <row r="11" spans="1:48" x14ac:dyDescent="0.25">
      <c r="A11" s="6" t="s">
        <v>53</v>
      </c>
      <c r="B11" s="7">
        <v>34</v>
      </c>
      <c r="C11" s="1">
        <v>6875</v>
      </c>
      <c r="D11" s="9">
        <v>0.40899999999999997</v>
      </c>
      <c r="E11" s="9">
        <v>12</v>
      </c>
      <c r="F11" s="9"/>
      <c r="G11" s="9">
        <v>0.78700000000000003</v>
      </c>
      <c r="H11" s="9">
        <v>0.27</v>
      </c>
      <c r="I11" s="9">
        <v>0.182</v>
      </c>
      <c r="J11" s="9">
        <v>0.13</v>
      </c>
      <c r="K11" s="9">
        <v>0.20499999999999999</v>
      </c>
      <c r="L11" s="9">
        <v>0.21299999999999999</v>
      </c>
      <c r="M11" s="9"/>
      <c r="N11" s="9">
        <v>0.439</v>
      </c>
      <c r="O11" s="9">
        <v>0.59799999999999998</v>
      </c>
      <c r="P11" s="9">
        <v>0.36</v>
      </c>
      <c r="Q11" s="9">
        <v>0.35899999999999999</v>
      </c>
      <c r="R11" s="9">
        <v>0.34899999999999998</v>
      </c>
      <c r="S11" s="9">
        <v>0.30099999999999999</v>
      </c>
      <c r="T11" s="9"/>
      <c r="U11" s="9">
        <v>0.49299999999999999</v>
      </c>
      <c r="V11" s="9">
        <v>0.73899999999999999</v>
      </c>
      <c r="W11" s="9"/>
      <c r="X11" s="10">
        <v>0.13900000000000001</v>
      </c>
      <c r="Y11" s="10">
        <v>0.38</v>
      </c>
      <c r="Z11" s="5"/>
      <c r="AA11" s="5"/>
      <c r="AB11" s="5">
        <f t="shared" si="0"/>
        <v>1</v>
      </c>
      <c r="AC11" s="5"/>
      <c r="AD11" s="5">
        <f t="shared" si="1"/>
        <v>5</v>
      </c>
      <c r="AE11" s="5">
        <f t="shared" si="2"/>
        <v>5</v>
      </c>
      <c r="AF11" s="5">
        <f t="shared" si="3"/>
        <v>6</v>
      </c>
      <c r="AG11" s="5">
        <f t="shared" si="4"/>
        <v>5</v>
      </c>
      <c r="AH11" s="5">
        <f t="shared" si="5"/>
        <v>11</v>
      </c>
      <c r="AI11" s="5">
        <f t="shared" si="6"/>
        <v>7</v>
      </c>
      <c r="AJ11" s="5"/>
      <c r="AK11" s="5">
        <f t="shared" si="7"/>
        <v>2</v>
      </c>
      <c r="AL11" s="5">
        <f t="shared" si="8"/>
        <v>3</v>
      </c>
      <c r="AM11" s="5">
        <f t="shared" si="9"/>
        <v>6</v>
      </c>
      <c r="AN11" s="5">
        <f t="shared" si="10"/>
        <v>4</v>
      </c>
      <c r="AO11" s="5">
        <f t="shared" si="11"/>
        <v>1</v>
      </c>
      <c r="AP11" s="5">
        <f t="shared" si="12"/>
        <v>1</v>
      </c>
      <c r="AQ11" s="5"/>
      <c r="AR11" s="5">
        <f t="shared" si="13"/>
        <v>1</v>
      </c>
      <c r="AS11" s="5">
        <f t="shared" si="14"/>
        <v>1</v>
      </c>
      <c r="AT11" s="5"/>
      <c r="AU11" s="5">
        <f t="shared" si="15"/>
        <v>2</v>
      </c>
      <c r="AV11" s="5">
        <f t="shared" si="16"/>
        <v>6</v>
      </c>
    </row>
    <row r="12" spans="1:48" x14ac:dyDescent="0.25">
      <c r="A12" s="6" t="s">
        <v>47</v>
      </c>
      <c r="B12" s="7">
        <v>34</v>
      </c>
      <c r="C12" s="1">
        <v>6900</v>
      </c>
      <c r="D12" s="9">
        <v>0.47399999999999998</v>
      </c>
      <c r="E12" s="9">
        <v>12</v>
      </c>
      <c r="F12" s="9"/>
      <c r="G12" s="9">
        <v>0.79300000000000004</v>
      </c>
      <c r="H12" s="9">
        <v>0.30399999999999999</v>
      </c>
      <c r="I12" s="9">
        <v>0.189</v>
      </c>
      <c r="J12" s="9">
        <v>0.122</v>
      </c>
      <c r="K12" s="9">
        <v>0.17799999999999999</v>
      </c>
      <c r="L12" s="9">
        <v>0.20699999999999999</v>
      </c>
      <c r="M12" s="9"/>
      <c r="N12" s="9">
        <v>0.51300000000000001</v>
      </c>
      <c r="O12" s="9">
        <v>0.66</v>
      </c>
      <c r="P12" s="9">
        <v>0.433</v>
      </c>
      <c r="Q12" s="9">
        <v>0.38800000000000001</v>
      </c>
      <c r="R12" s="9">
        <v>0.433</v>
      </c>
      <c r="S12" s="9">
        <v>0.32200000000000001</v>
      </c>
      <c r="T12" s="9"/>
      <c r="U12" s="9">
        <v>0.56399999999999995</v>
      </c>
      <c r="V12" s="9">
        <v>0.82299999999999995</v>
      </c>
      <c r="W12" s="9"/>
      <c r="X12" s="10">
        <v>0.21299999999999999</v>
      </c>
      <c r="Y12" s="10">
        <v>0.36099999999999999</v>
      </c>
      <c r="Z12" s="5"/>
      <c r="AA12" s="5"/>
      <c r="AB12" s="5">
        <f t="shared" si="0"/>
        <v>12</v>
      </c>
      <c r="AC12" s="5"/>
      <c r="AD12" s="5">
        <f t="shared" si="1"/>
        <v>7</v>
      </c>
      <c r="AE12" s="5">
        <f t="shared" si="2"/>
        <v>10</v>
      </c>
      <c r="AF12" s="5">
        <f t="shared" si="3"/>
        <v>7</v>
      </c>
      <c r="AG12" s="5">
        <f t="shared" si="4"/>
        <v>3</v>
      </c>
      <c r="AH12" s="5">
        <f t="shared" si="5"/>
        <v>5</v>
      </c>
      <c r="AI12" s="5">
        <f t="shared" si="6"/>
        <v>6</v>
      </c>
      <c r="AJ12" s="5"/>
      <c r="AK12" s="5">
        <f t="shared" si="7"/>
        <v>12</v>
      </c>
      <c r="AL12" s="5">
        <f t="shared" si="8"/>
        <v>9</v>
      </c>
      <c r="AM12" s="5">
        <f t="shared" si="9"/>
        <v>12</v>
      </c>
      <c r="AN12" s="5">
        <f t="shared" si="10"/>
        <v>7</v>
      </c>
      <c r="AO12" s="5">
        <f t="shared" si="11"/>
        <v>12</v>
      </c>
      <c r="AP12" s="5">
        <f t="shared" si="12"/>
        <v>6</v>
      </c>
      <c r="AQ12" s="5"/>
      <c r="AR12" s="5">
        <f t="shared" si="13"/>
        <v>10</v>
      </c>
      <c r="AS12" s="5">
        <f t="shared" si="14"/>
        <v>6</v>
      </c>
      <c r="AT12" s="5"/>
      <c r="AU12" s="5">
        <f t="shared" si="15"/>
        <v>11</v>
      </c>
      <c r="AV12" s="5">
        <f t="shared" si="16"/>
        <v>4</v>
      </c>
    </row>
    <row r="13" spans="1:48" x14ac:dyDescent="0.25">
      <c r="A13" s="6" t="s">
        <v>45</v>
      </c>
      <c r="B13" s="7">
        <v>34</v>
      </c>
      <c r="C13" s="1">
        <v>6875</v>
      </c>
      <c r="D13" s="9">
        <v>0.45700000000000002</v>
      </c>
      <c r="E13" s="9">
        <v>12</v>
      </c>
      <c r="F13" s="9"/>
      <c r="G13" s="9">
        <v>0.79500000000000004</v>
      </c>
      <c r="H13" s="9">
        <v>0.19700000000000001</v>
      </c>
      <c r="I13" s="9">
        <v>0.249</v>
      </c>
      <c r="J13" s="9">
        <v>0.152</v>
      </c>
      <c r="K13" s="9">
        <v>0.19600000000000001</v>
      </c>
      <c r="L13" s="9">
        <v>0.20499999999999999</v>
      </c>
      <c r="M13" s="9"/>
      <c r="N13" s="9">
        <v>0.49099999999999999</v>
      </c>
      <c r="O13" s="9">
        <v>0.78300000000000003</v>
      </c>
      <c r="P13" s="9">
        <v>0.40300000000000002</v>
      </c>
      <c r="Q13" s="9">
        <v>0.41199999999999998</v>
      </c>
      <c r="R13" s="9">
        <v>0.36899999999999999</v>
      </c>
      <c r="S13" s="9">
        <v>0.32700000000000001</v>
      </c>
      <c r="T13" s="9"/>
      <c r="U13" s="9">
        <v>0.52900000000000003</v>
      </c>
      <c r="V13" s="9">
        <v>0.81299999999999994</v>
      </c>
      <c r="W13" s="9"/>
      <c r="X13" s="10">
        <v>0.17699999999999999</v>
      </c>
      <c r="Y13" s="10">
        <v>0.32100000000000001</v>
      </c>
      <c r="Z13" s="5"/>
      <c r="AA13" s="5"/>
      <c r="AB13" s="5">
        <f t="shared" si="0"/>
        <v>10</v>
      </c>
      <c r="AC13" s="5"/>
      <c r="AD13" s="5">
        <f t="shared" si="1"/>
        <v>8</v>
      </c>
      <c r="AE13" s="5">
        <f t="shared" si="2"/>
        <v>1</v>
      </c>
      <c r="AF13" s="5">
        <f t="shared" si="3"/>
        <v>12</v>
      </c>
      <c r="AG13" s="5">
        <f t="shared" si="4"/>
        <v>11</v>
      </c>
      <c r="AH13" s="5">
        <f t="shared" si="5"/>
        <v>10</v>
      </c>
      <c r="AI13" s="5">
        <f t="shared" si="6"/>
        <v>5</v>
      </c>
      <c r="AJ13" s="5"/>
      <c r="AK13" s="5">
        <f t="shared" si="7"/>
        <v>10</v>
      </c>
      <c r="AL13" s="5">
        <f t="shared" si="8"/>
        <v>12</v>
      </c>
      <c r="AM13" s="5">
        <f t="shared" si="9"/>
        <v>10</v>
      </c>
      <c r="AN13" s="5">
        <f t="shared" si="10"/>
        <v>9</v>
      </c>
      <c r="AO13" s="5">
        <f t="shared" si="11"/>
        <v>8</v>
      </c>
      <c r="AP13" s="5">
        <f t="shared" si="12"/>
        <v>8</v>
      </c>
      <c r="AQ13" s="5"/>
      <c r="AR13" s="5">
        <f t="shared" si="13"/>
        <v>3</v>
      </c>
      <c r="AS13" s="5">
        <f t="shared" si="14"/>
        <v>4</v>
      </c>
      <c r="AT13" s="5"/>
      <c r="AU13" s="5">
        <f t="shared" si="15"/>
        <v>8</v>
      </c>
      <c r="AV13" s="5">
        <f t="shared" si="16"/>
        <v>1</v>
      </c>
    </row>
    <row r="14" spans="1:48" x14ac:dyDescent="0.25">
      <c r="A14" s="6" t="s">
        <v>43</v>
      </c>
      <c r="B14" s="7">
        <v>34</v>
      </c>
      <c r="C14" s="1">
        <v>6875</v>
      </c>
      <c r="D14" s="9">
        <v>0.46800000000000003</v>
      </c>
      <c r="E14" s="9">
        <v>11</v>
      </c>
      <c r="F14" s="9"/>
      <c r="G14" s="9">
        <v>0.81499999999999995</v>
      </c>
      <c r="H14" s="9">
        <v>0.28599999999999998</v>
      </c>
      <c r="I14" s="9">
        <v>0.23400000000000001</v>
      </c>
      <c r="J14" s="9">
        <v>0.13700000000000001</v>
      </c>
      <c r="K14" s="9">
        <v>0.157</v>
      </c>
      <c r="L14" s="9">
        <v>0.185</v>
      </c>
      <c r="M14" s="9"/>
      <c r="N14" s="9">
        <v>0.49199999999999999</v>
      </c>
      <c r="O14" s="9">
        <v>0.68600000000000005</v>
      </c>
      <c r="P14" s="9">
        <v>0.35199999999999998</v>
      </c>
      <c r="Q14" s="9">
        <v>0.42599999999999999</v>
      </c>
      <c r="R14" s="9">
        <v>0.40400000000000003</v>
      </c>
      <c r="S14" s="9">
        <v>0.36299999999999999</v>
      </c>
      <c r="T14" s="9"/>
      <c r="U14" s="9">
        <v>0.53800000000000003</v>
      </c>
      <c r="V14" s="9">
        <v>0.82599999999999996</v>
      </c>
      <c r="W14" s="9"/>
      <c r="X14" s="10">
        <v>0.151</v>
      </c>
      <c r="Y14" s="10">
        <v>0.46800000000000003</v>
      </c>
      <c r="Z14" s="5"/>
      <c r="AA14" s="5"/>
      <c r="AB14" s="5">
        <f t="shared" si="0"/>
        <v>11</v>
      </c>
      <c r="AC14" s="5"/>
      <c r="AD14" s="5">
        <f t="shared" si="1"/>
        <v>12</v>
      </c>
      <c r="AE14" s="5">
        <f t="shared" si="2"/>
        <v>7</v>
      </c>
      <c r="AF14" s="5">
        <f t="shared" si="3"/>
        <v>11</v>
      </c>
      <c r="AG14" s="5">
        <f t="shared" si="4"/>
        <v>9</v>
      </c>
      <c r="AH14" s="5">
        <f t="shared" si="5"/>
        <v>1</v>
      </c>
      <c r="AI14" s="5">
        <f t="shared" si="6"/>
        <v>1</v>
      </c>
      <c r="AJ14" s="5"/>
      <c r="AK14" s="5">
        <f t="shared" si="7"/>
        <v>11</v>
      </c>
      <c r="AL14" s="5">
        <f t="shared" si="8"/>
        <v>11</v>
      </c>
      <c r="AM14" s="5">
        <f t="shared" si="9"/>
        <v>5</v>
      </c>
      <c r="AN14" s="5">
        <f t="shared" si="10"/>
        <v>11</v>
      </c>
      <c r="AO14" s="5">
        <f t="shared" si="11"/>
        <v>11</v>
      </c>
      <c r="AP14" s="5">
        <f t="shared" si="12"/>
        <v>12</v>
      </c>
      <c r="AQ14" s="5"/>
      <c r="AR14" s="5">
        <f t="shared" si="13"/>
        <v>5</v>
      </c>
      <c r="AS14" s="5">
        <f t="shared" si="14"/>
        <v>8</v>
      </c>
      <c r="AT14" s="5"/>
      <c r="AU14" s="5">
        <f t="shared" si="15"/>
        <v>6</v>
      </c>
      <c r="AV14" s="5">
        <f t="shared" si="16"/>
        <v>11</v>
      </c>
    </row>
    <row r="15" spans="1:48" x14ac:dyDescent="0.25">
      <c r="A15" s="6" t="s">
        <v>50</v>
      </c>
      <c r="B15" s="7">
        <v>34</v>
      </c>
      <c r="C15" s="1">
        <v>6975</v>
      </c>
      <c r="D15" s="9">
        <v>0.41199999999999998</v>
      </c>
      <c r="E15" s="9">
        <v>12</v>
      </c>
      <c r="F15" s="9"/>
      <c r="G15" s="9">
        <v>0.80500000000000005</v>
      </c>
      <c r="H15" s="9">
        <v>0.254</v>
      </c>
      <c r="I15" s="9">
        <v>0.19900000000000001</v>
      </c>
      <c r="J15" s="9">
        <v>0.16500000000000001</v>
      </c>
      <c r="K15" s="9">
        <v>0.188</v>
      </c>
      <c r="L15" s="9">
        <v>0.19500000000000001</v>
      </c>
      <c r="M15" s="9"/>
      <c r="N15" s="9">
        <v>0.435</v>
      </c>
      <c r="O15" s="9">
        <v>0.61299999999999999</v>
      </c>
      <c r="P15" s="9">
        <v>0.34599999999999997</v>
      </c>
      <c r="Q15" s="9">
        <v>0.34200000000000003</v>
      </c>
      <c r="R15" s="9">
        <v>0.372</v>
      </c>
      <c r="S15" s="9">
        <v>0.318</v>
      </c>
      <c r="T15" s="9"/>
      <c r="U15" s="9">
        <v>0.53500000000000003</v>
      </c>
      <c r="V15" s="9">
        <v>0.81899999999999995</v>
      </c>
      <c r="W15" s="9"/>
      <c r="X15" s="10">
        <v>0.14299999999999999</v>
      </c>
      <c r="Y15" s="10">
        <v>0.52300000000000002</v>
      </c>
      <c r="Z15" s="5"/>
      <c r="AA15" s="5"/>
      <c r="AB15" s="5">
        <f t="shared" si="0"/>
        <v>2</v>
      </c>
      <c r="AC15" s="5"/>
      <c r="AD15" s="5">
        <f t="shared" si="1"/>
        <v>10</v>
      </c>
      <c r="AE15" s="5">
        <f t="shared" si="2"/>
        <v>3</v>
      </c>
      <c r="AF15" s="5">
        <f t="shared" si="3"/>
        <v>9</v>
      </c>
      <c r="AG15" s="5">
        <f t="shared" si="4"/>
        <v>12</v>
      </c>
      <c r="AH15" s="5">
        <f t="shared" si="5"/>
        <v>7</v>
      </c>
      <c r="AI15" s="5">
        <f t="shared" si="6"/>
        <v>2</v>
      </c>
      <c r="AJ15" s="5"/>
      <c r="AK15" s="5">
        <f t="shared" si="7"/>
        <v>1</v>
      </c>
      <c r="AL15" s="5">
        <f t="shared" si="8"/>
        <v>6</v>
      </c>
      <c r="AM15" s="5">
        <f t="shared" si="9"/>
        <v>3</v>
      </c>
      <c r="AN15" s="5">
        <f t="shared" si="10"/>
        <v>2</v>
      </c>
      <c r="AO15" s="5">
        <f t="shared" si="11"/>
        <v>9</v>
      </c>
      <c r="AP15" s="5">
        <f t="shared" si="12"/>
        <v>5</v>
      </c>
      <c r="AQ15" s="5"/>
      <c r="AR15" s="5">
        <f t="shared" si="13"/>
        <v>4</v>
      </c>
      <c r="AS15" s="5">
        <f t="shared" si="14"/>
        <v>5</v>
      </c>
      <c r="AT15" s="5"/>
      <c r="AU15" s="5">
        <f t="shared" si="15"/>
        <v>3</v>
      </c>
      <c r="AV15" s="5">
        <f t="shared" si="16"/>
        <v>12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6900</v>
      </c>
      <c r="D24" s="9">
        <f t="shared" si="17"/>
        <v>0.43775000000000003</v>
      </c>
      <c r="E24" s="9">
        <f t="shared" si="17"/>
        <v>12</v>
      </c>
      <c r="F24" s="9"/>
      <c r="G24" s="9">
        <f t="shared" si="17"/>
        <v>0.78849999999999998</v>
      </c>
      <c r="H24" s="9">
        <f t="shared" si="17"/>
        <v>0.27675</v>
      </c>
      <c r="I24" s="9">
        <f t="shared" si="17"/>
        <v>0.19299999999999998</v>
      </c>
      <c r="J24" s="9">
        <f t="shared" si="17"/>
        <v>0.13533333333333333</v>
      </c>
      <c r="K24" s="9">
        <f t="shared" si="17"/>
        <v>0.18300000000000002</v>
      </c>
      <c r="L24" s="9">
        <f t="shared" si="17"/>
        <v>0.21149999999999999</v>
      </c>
      <c r="M24" s="9"/>
      <c r="N24" s="9">
        <f t="shared" si="17"/>
        <v>0.46691666666666659</v>
      </c>
      <c r="O24" s="9">
        <f t="shared" si="17"/>
        <v>0.64024999999999999</v>
      </c>
      <c r="P24" s="9">
        <f t="shared" si="17"/>
        <v>0.37074999999999997</v>
      </c>
      <c r="Q24" s="9">
        <f t="shared" si="17"/>
        <v>0.38274999999999992</v>
      </c>
      <c r="R24" s="9">
        <f t="shared" si="17"/>
        <v>0.37358333333333332</v>
      </c>
      <c r="S24" s="9">
        <f t="shared" si="17"/>
        <v>0.32816666666666666</v>
      </c>
      <c r="T24" s="9"/>
      <c r="U24" s="9">
        <f t="shared" si="17"/>
        <v>0.54583333333333339</v>
      </c>
      <c r="V24" s="9">
        <f t="shared" si="17"/>
        <v>0.82183333333333353</v>
      </c>
      <c r="W24" s="9"/>
      <c r="X24" s="9">
        <f t="shared" si="17"/>
        <v>0.16550000000000001</v>
      </c>
      <c r="Y24" s="9">
        <f t="shared" si="17"/>
        <v>0.39566666666666667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2026-09-09T08:23:07Z</dcterms:modified>
</cp:coreProperties>
</file>