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/>
  <mc:AlternateContent xmlns:mc="http://schemas.openxmlformats.org/markup-compatibility/2006">
    <mc:Choice Requires="x15">
      <x15ac:absPath xmlns:x15ac="http://schemas.microsoft.com/office/spreadsheetml/2010/11/ac" url="D:\Swish Swish\WNBA_STATS_TEAM\"/>
    </mc:Choice>
  </mc:AlternateContent>
  <xr:revisionPtr revIDLastSave="0" documentId="8_{F228ACB2-9642-4315-812E-CB684605197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DVANCED" sheetId="3" r:id="rId1"/>
    <sheet name="SHOOTING" sheetId="4" r:id="rId2"/>
    <sheet name="SHOOTING OPPONENT" sheetId="5" r:id="rId3"/>
  </sheets>
  <definedNames>
    <definedName name="_xlnm._FilterDatabase" localSheetId="0" hidden="1">ADVANCED!$A$3:$Z$3</definedName>
    <definedName name="_xlnm._FilterDatabase" localSheetId="1" hidden="1">SHOOTING!$A$3:$W$3</definedName>
    <definedName name="_xlnm._FilterDatabase" localSheetId="2" hidden="1">'SHOOTING OPPONENT'!$A$3:$W$3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" roundtripDataChecksum="x/Ay+Yb54+uEzThiZP7nmNUBj+QoSi8oDLL/paKSa+E="/>
    </ext>
  </extLst>
</workbook>
</file>

<file path=xl/calcChain.xml><?xml version="1.0" encoding="utf-8"?>
<calcChain xmlns="http://schemas.openxmlformats.org/spreadsheetml/2006/main">
  <c r="AV5" i="5" l="1"/>
  <c r="AV6" i="5"/>
  <c r="AV7" i="5"/>
  <c r="AV8" i="5"/>
  <c r="AV9" i="5"/>
  <c r="AV10" i="5"/>
  <c r="AV11" i="5"/>
  <c r="AV12" i="5"/>
  <c r="AV13" i="5"/>
  <c r="AV14" i="5"/>
  <c r="AV15" i="5"/>
  <c r="AV4" i="5"/>
  <c r="AU5" i="5"/>
  <c r="AU6" i="5"/>
  <c r="AU7" i="5"/>
  <c r="AU8" i="5"/>
  <c r="AU9" i="5"/>
  <c r="AU10" i="5"/>
  <c r="AU11" i="5"/>
  <c r="AU12" i="5"/>
  <c r="AU13" i="5"/>
  <c r="AU14" i="5"/>
  <c r="AU15" i="5"/>
  <c r="AU4" i="5"/>
  <c r="AS5" i="5"/>
  <c r="AS6" i="5"/>
  <c r="AS7" i="5"/>
  <c r="AS8" i="5"/>
  <c r="AS9" i="5"/>
  <c r="AS10" i="5"/>
  <c r="AS11" i="5"/>
  <c r="AS12" i="5"/>
  <c r="AS13" i="5"/>
  <c r="AS14" i="5"/>
  <c r="AS15" i="5"/>
  <c r="AS4" i="5"/>
  <c r="AR5" i="5"/>
  <c r="AR6" i="5"/>
  <c r="AR7" i="5"/>
  <c r="AR8" i="5"/>
  <c r="AR9" i="5"/>
  <c r="AR10" i="5"/>
  <c r="AR11" i="5"/>
  <c r="AR12" i="5"/>
  <c r="AR13" i="5"/>
  <c r="AR14" i="5"/>
  <c r="AR15" i="5"/>
  <c r="AR4" i="5"/>
  <c r="AP5" i="5"/>
  <c r="AP6" i="5"/>
  <c r="AP7" i="5"/>
  <c r="AP8" i="5"/>
  <c r="AP9" i="5"/>
  <c r="AP10" i="5"/>
  <c r="AP11" i="5"/>
  <c r="AP12" i="5"/>
  <c r="AP13" i="5"/>
  <c r="AP14" i="5"/>
  <c r="AP15" i="5"/>
  <c r="AP4" i="5"/>
  <c r="AO5" i="5"/>
  <c r="AO6" i="5"/>
  <c r="AO7" i="5"/>
  <c r="AO8" i="5"/>
  <c r="AO9" i="5"/>
  <c r="AO10" i="5"/>
  <c r="AO11" i="5"/>
  <c r="AO12" i="5"/>
  <c r="AO13" i="5"/>
  <c r="AO14" i="5"/>
  <c r="AO15" i="5"/>
  <c r="AO4" i="5"/>
  <c r="AN5" i="5"/>
  <c r="AN6" i="5"/>
  <c r="AN7" i="5"/>
  <c r="AN8" i="5"/>
  <c r="AN9" i="5"/>
  <c r="AN10" i="5"/>
  <c r="AN11" i="5"/>
  <c r="AN12" i="5"/>
  <c r="AN13" i="5"/>
  <c r="AN14" i="5"/>
  <c r="AN15" i="5"/>
  <c r="AN4" i="5"/>
  <c r="AM5" i="5"/>
  <c r="AM6" i="5"/>
  <c r="AM7" i="5"/>
  <c r="AM8" i="5"/>
  <c r="AM9" i="5"/>
  <c r="AM10" i="5"/>
  <c r="AM11" i="5"/>
  <c r="AM12" i="5"/>
  <c r="AM13" i="5"/>
  <c r="AM14" i="5"/>
  <c r="AM15" i="5"/>
  <c r="AM4" i="5"/>
  <c r="AL5" i="5"/>
  <c r="AL6" i="5"/>
  <c r="AL7" i="5"/>
  <c r="AL8" i="5"/>
  <c r="AL9" i="5"/>
  <c r="AL10" i="5"/>
  <c r="AL11" i="5"/>
  <c r="AL12" i="5"/>
  <c r="AL13" i="5"/>
  <c r="AL14" i="5"/>
  <c r="AL15" i="5"/>
  <c r="AL4" i="5"/>
  <c r="AK5" i="5"/>
  <c r="AK6" i="5"/>
  <c r="AK7" i="5"/>
  <c r="AK8" i="5"/>
  <c r="AK9" i="5"/>
  <c r="AK10" i="5"/>
  <c r="AK11" i="5"/>
  <c r="AK12" i="5"/>
  <c r="AK13" i="5"/>
  <c r="AK14" i="5"/>
  <c r="AK15" i="5"/>
  <c r="AK4" i="5"/>
  <c r="AI5" i="5"/>
  <c r="AI6" i="5"/>
  <c r="AI7" i="5"/>
  <c r="AI8" i="5"/>
  <c r="AI9" i="5"/>
  <c r="AI10" i="5"/>
  <c r="AI11" i="5"/>
  <c r="AI12" i="5"/>
  <c r="AI13" i="5"/>
  <c r="AI14" i="5"/>
  <c r="AI15" i="5"/>
  <c r="AI4" i="5"/>
  <c r="AH5" i="5"/>
  <c r="AH6" i="5"/>
  <c r="AH7" i="5"/>
  <c r="AH8" i="5"/>
  <c r="AH9" i="5"/>
  <c r="AH10" i="5"/>
  <c r="AH11" i="5"/>
  <c r="AH12" i="5"/>
  <c r="AH13" i="5"/>
  <c r="AH14" i="5"/>
  <c r="AH15" i="5"/>
  <c r="AH4" i="5"/>
  <c r="AG5" i="5"/>
  <c r="AG6" i="5"/>
  <c r="AG7" i="5"/>
  <c r="AG8" i="5"/>
  <c r="AG9" i="5"/>
  <c r="AG10" i="5"/>
  <c r="AG11" i="5"/>
  <c r="AG12" i="5"/>
  <c r="AG13" i="5"/>
  <c r="AG14" i="5"/>
  <c r="AG15" i="5"/>
  <c r="AG4" i="5"/>
  <c r="AF5" i="5"/>
  <c r="AF6" i="5"/>
  <c r="AF7" i="5"/>
  <c r="AF8" i="5"/>
  <c r="AF9" i="5"/>
  <c r="AF10" i="5"/>
  <c r="AF11" i="5"/>
  <c r="AF12" i="5"/>
  <c r="AF13" i="5"/>
  <c r="AF14" i="5"/>
  <c r="AF15" i="5"/>
  <c r="AF4" i="5"/>
  <c r="AE5" i="5"/>
  <c r="AE6" i="5"/>
  <c r="AE7" i="5"/>
  <c r="AE8" i="5"/>
  <c r="AE9" i="5"/>
  <c r="AE10" i="5"/>
  <c r="AE11" i="5"/>
  <c r="AE12" i="5"/>
  <c r="AE13" i="5"/>
  <c r="AE14" i="5"/>
  <c r="AE15" i="5"/>
  <c r="AE4" i="5"/>
  <c r="AD5" i="5"/>
  <c r="AD6" i="5"/>
  <c r="AD7" i="5"/>
  <c r="AD8" i="5"/>
  <c r="AD9" i="5"/>
  <c r="AD10" i="5"/>
  <c r="AD11" i="5"/>
  <c r="AD12" i="5"/>
  <c r="AD13" i="5"/>
  <c r="AD14" i="5"/>
  <c r="AD15" i="5"/>
  <c r="AD4" i="5"/>
  <c r="AB5" i="5"/>
  <c r="AB6" i="5"/>
  <c r="AB7" i="5"/>
  <c r="AB8" i="5"/>
  <c r="AB9" i="5"/>
  <c r="AB10" i="5"/>
  <c r="AB11" i="5"/>
  <c r="AB12" i="5"/>
  <c r="AB13" i="5"/>
  <c r="AB14" i="5"/>
  <c r="AB15" i="5"/>
  <c r="AB4" i="5"/>
  <c r="BA5" i="3"/>
  <c r="BA6" i="3"/>
  <c r="BA7" i="3"/>
  <c r="BA8" i="3"/>
  <c r="BA9" i="3"/>
  <c r="BA10" i="3"/>
  <c r="BA11" i="3"/>
  <c r="BA12" i="3"/>
  <c r="BA13" i="3"/>
  <c r="BA14" i="3"/>
  <c r="BA15" i="3"/>
  <c r="BA4" i="3"/>
  <c r="AX5" i="3"/>
  <c r="AX6" i="3"/>
  <c r="AX7" i="3"/>
  <c r="AX8" i="3"/>
  <c r="AX9" i="3"/>
  <c r="AX10" i="3"/>
  <c r="AX11" i="3"/>
  <c r="AX12" i="3"/>
  <c r="AX13" i="3"/>
  <c r="AX14" i="3"/>
  <c r="AX15" i="3"/>
  <c r="AX4" i="3"/>
  <c r="AT5" i="3"/>
  <c r="AT6" i="3"/>
  <c r="AT7" i="3"/>
  <c r="AT8" i="3"/>
  <c r="AT9" i="3"/>
  <c r="AT10" i="3"/>
  <c r="AT11" i="3"/>
  <c r="AT12" i="3"/>
  <c r="AT13" i="3"/>
  <c r="AT14" i="3"/>
  <c r="AT15" i="3"/>
  <c r="AT4" i="3"/>
  <c r="AL5" i="3"/>
  <c r="AL6" i="3"/>
  <c r="AL7" i="3"/>
  <c r="AL8" i="3"/>
  <c r="AL9" i="3"/>
  <c r="AL10" i="3"/>
  <c r="AL11" i="3"/>
  <c r="AL12" i="3"/>
  <c r="AL13" i="3"/>
  <c r="AL14" i="3"/>
  <c r="AL15" i="3"/>
  <c r="AL4" i="3"/>
  <c r="AG5" i="3"/>
  <c r="AG6" i="3"/>
  <c r="AG7" i="3"/>
  <c r="AG8" i="3"/>
  <c r="AG9" i="3"/>
  <c r="AG10" i="3"/>
  <c r="AG11" i="3"/>
  <c r="AG12" i="3"/>
  <c r="AG13" i="3"/>
  <c r="AG14" i="3"/>
  <c r="AG15" i="3"/>
  <c r="AF5" i="3"/>
  <c r="AF6" i="3"/>
  <c r="AF7" i="3"/>
  <c r="AF8" i="3"/>
  <c r="AF9" i="3"/>
  <c r="AF10" i="3"/>
  <c r="AF11" i="3"/>
  <c r="AF12" i="3"/>
  <c r="AF13" i="3"/>
  <c r="AF14" i="3"/>
  <c r="AF15" i="3"/>
  <c r="AG4" i="3"/>
  <c r="AE5" i="3"/>
  <c r="AE6" i="3"/>
  <c r="AE7" i="3"/>
  <c r="AE8" i="3"/>
  <c r="AE9" i="3"/>
  <c r="AE10" i="3"/>
  <c r="AE11" i="3"/>
  <c r="AE12" i="3"/>
  <c r="AE13" i="3"/>
  <c r="AE14" i="3"/>
  <c r="AE15" i="3"/>
  <c r="AE4" i="3"/>
  <c r="Y24" i="5"/>
  <c r="X24" i="5"/>
  <c r="V24" i="5"/>
  <c r="U24" i="5"/>
  <c r="S24" i="5"/>
  <c r="R24" i="5"/>
  <c r="Q24" i="5"/>
  <c r="P24" i="5"/>
  <c r="O24" i="5"/>
  <c r="N24" i="5"/>
  <c r="L24" i="5"/>
  <c r="K24" i="5"/>
  <c r="J24" i="5"/>
  <c r="I24" i="5"/>
  <c r="H24" i="5"/>
  <c r="G24" i="5"/>
  <c r="E24" i="5"/>
  <c r="D24" i="5"/>
  <c r="C24" i="5"/>
  <c r="B24" i="5"/>
  <c r="C24" i="4"/>
  <c r="D24" i="4"/>
  <c r="E24" i="4"/>
  <c r="G24" i="4"/>
  <c r="H24" i="4"/>
  <c r="I24" i="4"/>
  <c r="J24" i="4"/>
  <c r="K24" i="4"/>
  <c r="L24" i="4"/>
  <c r="N24" i="4"/>
  <c r="O24" i="4"/>
  <c r="P24" i="4"/>
  <c r="Q24" i="4"/>
  <c r="R24" i="4"/>
  <c r="S24" i="4"/>
  <c r="U24" i="4"/>
  <c r="V24" i="4"/>
  <c r="X24" i="4"/>
  <c r="Y24" i="4"/>
  <c r="B24" i="4"/>
  <c r="C24" i="3"/>
  <c r="D24" i="3"/>
  <c r="E24" i="3"/>
  <c r="F24" i="3"/>
  <c r="G24" i="3"/>
  <c r="H24" i="3"/>
  <c r="I24" i="3"/>
  <c r="J24" i="3"/>
  <c r="K24" i="3"/>
  <c r="L24" i="3"/>
  <c r="M24" i="3"/>
  <c r="N24" i="3"/>
  <c r="O24" i="3"/>
  <c r="P24" i="3"/>
  <c r="R24" i="3"/>
  <c r="S24" i="3"/>
  <c r="T24" i="3"/>
  <c r="U24" i="3"/>
  <c r="W24" i="3"/>
  <c r="X24" i="3"/>
  <c r="Y24" i="3"/>
  <c r="Z24" i="3"/>
  <c r="B24" i="3"/>
  <c r="AV5" i="4"/>
  <c r="AV6" i="4"/>
  <c r="AV7" i="4"/>
  <c r="AV8" i="4"/>
  <c r="AV9" i="4"/>
  <c r="AV10" i="4"/>
  <c r="AV11" i="4"/>
  <c r="AV12" i="4"/>
  <c r="AV13" i="4"/>
  <c r="AV14" i="4"/>
  <c r="AV15" i="4"/>
  <c r="AU5" i="4"/>
  <c r="AU6" i="4"/>
  <c r="AU7" i="4"/>
  <c r="AU8" i="4"/>
  <c r="AU9" i="4"/>
  <c r="AU10" i="4"/>
  <c r="AU11" i="4"/>
  <c r="AU12" i="4"/>
  <c r="AU13" i="4"/>
  <c r="AU14" i="4"/>
  <c r="AU15" i="4"/>
  <c r="AS5" i="4"/>
  <c r="AS6" i="4"/>
  <c r="AS7" i="4"/>
  <c r="AS8" i="4"/>
  <c r="AS9" i="4"/>
  <c r="AS10" i="4"/>
  <c r="AS11" i="4"/>
  <c r="AS12" i="4"/>
  <c r="AS13" i="4"/>
  <c r="AS14" i="4"/>
  <c r="AS15" i="4"/>
  <c r="AR5" i="4"/>
  <c r="AR6" i="4"/>
  <c r="AR7" i="4"/>
  <c r="AR8" i="4"/>
  <c r="AR9" i="4"/>
  <c r="AR10" i="4"/>
  <c r="AR11" i="4"/>
  <c r="AR12" i="4"/>
  <c r="AR13" i="4"/>
  <c r="AR14" i="4"/>
  <c r="AR15" i="4"/>
  <c r="AP5" i="4"/>
  <c r="AP6" i="4"/>
  <c r="AP7" i="4"/>
  <c r="AP8" i="4"/>
  <c r="AP9" i="4"/>
  <c r="AP10" i="4"/>
  <c r="AP11" i="4"/>
  <c r="AP12" i="4"/>
  <c r="AP13" i="4"/>
  <c r="AP14" i="4"/>
  <c r="AP15" i="4"/>
  <c r="AO5" i="4"/>
  <c r="AO6" i="4"/>
  <c r="AO7" i="4"/>
  <c r="AO8" i="4"/>
  <c r="AO9" i="4"/>
  <c r="AO10" i="4"/>
  <c r="AO11" i="4"/>
  <c r="AO12" i="4"/>
  <c r="AO13" i="4"/>
  <c r="AO14" i="4"/>
  <c r="AO15" i="4"/>
  <c r="AN5" i="4"/>
  <c r="AN6" i="4"/>
  <c r="AN7" i="4"/>
  <c r="AN8" i="4"/>
  <c r="AN9" i="4"/>
  <c r="AN10" i="4"/>
  <c r="AN11" i="4"/>
  <c r="AN12" i="4"/>
  <c r="AN13" i="4"/>
  <c r="AN14" i="4"/>
  <c r="AN15" i="4"/>
  <c r="AM5" i="4"/>
  <c r="AM6" i="4"/>
  <c r="AM7" i="4"/>
  <c r="AM8" i="4"/>
  <c r="AM9" i="4"/>
  <c r="AM10" i="4"/>
  <c r="AM11" i="4"/>
  <c r="AM12" i="4"/>
  <c r="AM13" i="4"/>
  <c r="AM14" i="4"/>
  <c r="AM15" i="4"/>
  <c r="AL5" i="4"/>
  <c r="AL6" i="4"/>
  <c r="AL7" i="4"/>
  <c r="AL8" i="4"/>
  <c r="AL9" i="4"/>
  <c r="AL10" i="4"/>
  <c r="AL11" i="4"/>
  <c r="AL12" i="4"/>
  <c r="AL13" i="4"/>
  <c r="AL14" i="4"/>
  <c r="AL15" i="4"/>
  <c r="AK5" i="4"/>
  <c r="AK6" i="4"/>
  <c r="AK7" i="4"/>
  <c r="AK8" i="4"/>
  <c r="AK9" i="4"/>
  <c r="AK10" i="4"/>
  <c r="AK11" i="4"/>
  <c r="AK12" i="4"/>
  <c r="AK13" i="4"/>
  <c r="AK14" i="4"/>
  <c r="AK15" i="4"/>
  <c r="AI5" i="4"/>
  <c r="AI6" i="4"/>
  <c r="AI7" i="4"/>
  <c r="AI8" i="4"/>
  <c r="AI9" i="4"/>
  <c r="AI10" i="4"/>
  <c r="AI11" i="4"/>
  <c r="AI12" i="4"/>
  <c r="AI13" i="4"/>
  <c r="AI14" i="4"/>
  <c r="AI15" i="4"/>
  <c r="AH5" i="4"/>
  <c r="AH6" i="4"/>
  <c r="AH7" i="4"/>
  <c r="AH8" i="4"/>
  <c r="AH9" i="4"/>
  <c r="AH10" i="4"/>
  <c r="AH11" i="4"/>
  <c r="AH12" i="4"/>
  <c r="AH13" i="4"/>
  <c r="AH14" i="4"/>
  <c r="AH15" i="4"/>
  <c r="AG5" i="4"/>
  <c r="AG6" i="4"/>
  <c r="AG7" i="4"/>
  <c r="AG8" i="4"/>
  <c r="AG9" i="4"/>
  <c r="AG10" i="4"/>
  <c r="AG11" i="4"/>
  <c r="AG12" i="4"/>
  <c r="AG13" i="4"/>
  <c r="AG14" i="4"/>
  <c r="AG15" i="4"/>
  <c r="AF5" i="4"/>
  <c r="AF6" i="4"/>
  <c r="AF7" i="4"/>
  <c r="AF8" i="4"/>
  <c r="AF9" i="4"/>
  <c r="AF10" i="4"/>
  <c r="AF11" i="4"/>
  <c r="AF12" i="4"/>
  <c r="AF13" i="4"/>
  <c r="AF14" i="4"/>
  <c r="AF15" i="4"/>
  <c r="AE5" i="4"/>
  <c r="AE6" i="4"/>
  <c r="AE7" i="4"/>
  <c r="AE8" i="4"/>
  <c r="AE9" i="4"/>
  <c r="AE10" i="4"/>
  <c r="AE11" i="4"/>
  <c r="AE12" i="4"/>
  <c r="AE13" i="4"/>
  <c r="AE14" i="4"/>
  <c r="AE15" i="4"/>
  <c r="AD5" i="4"/>
  <c r="AD6" i="4"/>
  <c r="AD7" i="4"/>
  <c r="AD8" i="4"/>
  <c r="AD9" i="4"/>
  <c r="AD10" i="4"/>
  <c r="AD11" i="4"/>
  <c r="AD12" i="4"/>
  <c r="AD13" i="4"/>
  <c r="AD14" i="4"/>
  <c r="AD15" i="4"/>
  <c r="AB5" i="4"/>
  <c r="AB6" i="4"/>
  <c r="AB7" i="4"/>
  <c r="AB8" i="4"/>
  <c r="AB9" i="4"/>
  <c r="AB10" i="4"/>
  <c r="AB11" i="4"/>
  <c r="AB12" i="4"/>
  <c r="AB13" i="4"/>
  <c r="AB14" i="4"/>
  <c r="AB15" i="4"/>
  <c r="AB4" i="4"/>
  <c r="AD4" i="4"/>
  <c r="AE4" i="4"/>
  <c r="AF4" i="4"/>
  <c r="AG4" i="4"/>
  <c r="AH4" i="4"/>
  <c r="AI4" i="4"/>
  <c r="AK4" i="4"/>
  <c r="AL4" i="4"/>
  <c r="AM4" i="4"/>
  <c r="AN4" i="4"/>
  <c r="AO4" i="4"/>
  <c r="AP4" i="4"/>
  <c r="AR4" i="4"/>
  <c r="AS4" i="4"/>
  <c r="AU4" i="4"/>
  <c r="AV4" i="4"/>
  <c r="AZ5" i="3"/>
  <c r="AZ6" i="3"/>
  <c r="AZ7" i="3"/>
  <c r="AZ8" i="3"/>
  <c r="AZ9" i="3"/>
  <c r="AZ10" i="3"/>
  <c r="AZ11" i="3"/>
  <c r="AZ12" i="3"/>
  <c r="AZ13" i="3"/>
  <c r="AZ14" i="3"/>
  <c r="AZ15" i="3"/>
  <c r="AY5" i="3"/>
  <c r="AY6" i="3"/>
  <c r="AY7" i="3"/>
  <c r="AY8" i="3"/>
  <c r="AY9" i="3"/>
  <c r="AY10" i="3"/>
  <c r="AY11" i="3"/>
  <c r="AY12" i="3"/>
  <c r="AY13" i="3"/>
  <c r="AY14" i="3"/>
  <c r="AY15" i="3"/>
  <c r="AV5" i="3"/>
  <c r="AV6" i="3"/>
  <c r="AV7" i="3"/>
  <c r="AV8" i="3"/>
  <c r="AV9" i="3"/>
  <c r="AV10" i="3"/>
  <c r="AV11" i="3"/>
  <c r="AV12" i="3"/>
  <c r="AV13" i="3"/>
  <c r="AV14" i="3"/>
  <c r="AV15" i="3"/>
  <c r="AU5" i="3"/>
  <c r="AU6" i="3"/>
  <c r="AU7" i="3"/>
  <c r="AU8" i="3"/>
  <c r="AU9" i="3"/>
  <c r="AU10" i="3"/>
  <c r="AU11" i="3"/>
  <c r="AU12" i="3"/>
  <c r="AU13" i="3"/>
  <c r="AU14" i="3"/>
  <c r="AU15" i="3"/>
  <c r="AS5" i="3"/>
  <c r="AS6" i="3"/>
  <c r="AS7" i="3"/>
  <c r="AS8" i="3"/>
  <c r="AS9" i="3"/>
  <c r="AS10" i="3"/>
  <c r="AS11" i="3"/>
  <c r="AS12" i="3"/>
  <c r="AS13" i="3"/>
  <c r="AS14" i="3"/>
  <c r="AS15" i="3"/>
  <c r="AQ5" i="3"/>
  <c r="AQ6" i="3"/>
  <c r="AQ7" i="3"/>
  <c r="AQ8" i="3"/>
  <c r="AQ9" i="3"/>
  <c r="AQ10" i="3"/>
  <c r="AQ11" i="3"/>
  <c r="AQ12" i="3"/>
  <c r="AQ13" i="3"/>
  <c r="AQ14" i="3"/>
  <c r="AQ15" i="3"/>
  <c r="AP5" i="3"/>
  <c r="AP6" i="3"/>
  <c r="AP7" i="3"/>
  <c r="AP8" i="3"/>
  <c r="AP9" i="3"/>
  <c r="AP10" i="3"/>
  <c r="AP11" i="3"/>
  <c r="AP12" i="3"/>
  <c r="AP13" i="3"/>
  <c r="AP14" i="3"/>
  <c r="AP15" i="3"/>
  <c r="AO5" i="3"/>
  <c r="AO6" i="3"/>
  <c r="AO7" i="3"/>
  <c r="AO8" i="3"/>
  <c r="AO9" i="3"/>
  <c r="AO10" i="3"/>
  <c r="AO11" i="3"/>
  <c r="AO12" i="3"/>
  <c r="AO13" i="3"/>
  <c r="AO14" i="3"/>
  <c r="AO15" i="3"/>
  <c r="AN5" i="3"/>
  <c r="AN6" i="3"/>
  <c r="AN7" i="3"/>
  <c r="AN8" i="3"/>
  <c r="AN9" i="3"/>
  <c r="AN10" i="3"/>
  <c r="AN11" i="3"/>
  <c r="AN12" i="3"/>
  <c r="AN13" i="3"/>
  <c r="AN14" i="3"/>
  <c r="AN15" i="3"/>
  <c r="AM5" i="3"/>
  <c r="AM6" i="3"/>
  <c r="AM7" i="3"/>
  <c r="AM8" i="3"/>
  <c r="AM9" i="3"/>
  <c r="AM10" i="3"/>
  <c r="AM11" i="3"/>
  <c r="AM12" i="3"/>
  <c r="AM13" i="3"/>
  <c r="AM14" i="3"/>
  <c r="AM15" i="3"/>
  <c r="AK5" i="3"/>
  <c r="AK6" i="3"/>
  <c r="AK7" i="3"/>
  <c r="AK8" i="3"/>
  <c r="AK9" i="3"/>
  <c r="AK10" i="3"/>
  <c r="AK11" i="3"/>
  <c r="AK12" i="3"/>
  <c r="AK13" i="3"/>
  <c r="AK14" i="3"/>
  <c r="AK15" i="3"/>
  <c r="AJ5" i="3"/>
  <c r="AJ6" i="3"/>
  <c r="AJ7" i="3"/>
  <c r="AJ8" i="3"/>
  <c r="AJ9" i="3"/>
  <c r="AJ10" i="3"/>
  <c r="AJ11" i="3"/>
  <c r="AJ12" i="3"/>
  <c r="AJ13" i="3"/>
  <c r="AJ14" i="3"/>
  <c r="AJ15" i="3"/>
  <c r="AI5" i="3"/>
  <c r="AI6" i="3"/>
  <c r="AI7" i="3"/>
  <c r="AI8" i="3"/>
  <c r="AI9" i="3"/>
  <c r="AI10" i="3"/>
  <c r="AI11" i="3"/>
  <c r="AI12" i="3"/>
  <c r="AI13" i="3"/>
  <c r="AI14" i="3"/>
  <c r="AI15" i="3"/>
  <c r="AH5" i="3"/>
  <c r="AH6" i="3"/>
  <c r="AH7" i="3"/>
  <c r="AH8" i="3"/>
  <c r="AH9" i="3"/>
  <c r="AH10" i="3"/>
  <c r="AH11" i="3"/>
  <c r="AH12" i="3"/>
  <c r="AH13" i="3"/>
  <c r="AH14" i="3"/>
  <c r="AH15" i="3"/>
  <c r="AD5" i="3"/>
  <c r="AD6" i="3"/>
  <c r="AD7" i="3"/>
  <c r="AD8" i="3"/>
  <c r="AD9" i="3"/>
  <c r="AD10" i="3"/>
  <c r="AD11" i="3"/>
  <c r="AD12" i="3"/>
  <c r="AD13" i="3"/>
  <c r="AD14" i="3"/>
  <c r="AD15" i="3"/>
  <c r="AD4" i="3"/>
  <c r="AF4" i="3"/>
  <c r="AH4" i="3"/>
  <c r="AI4" i="3"/>
  <c r="AJ4" i="3"/>
  <c r="AK4" i="3"/>
  <c r="AM4" i="3"/>
  <c r="AN4" i="3"/>
  <c r="AO4" i="3"/>
  <c r="AP4" i="3"/>
  <c r="AQ4" i="3"/>
  <c r="AS4" i="3"/>
  <c r="AU4" i="3"/>
  <c r="AV4" i="3"/>
  <c r="AY4" i="3"/>
  <c r="AZ4" i="3"/>
  <c r="AC5" i="3"/>
  <c r="AC6" i="3"/>
  <c r="AC7" i="3"/>
  <c r="AC8" i="3"/>
  <c r="AC9" i="3"/>
  <c r="AC10" i="3"/>
  <c r="AC11" i="3"/>
  <c r="AC12" i="3"/>
  <c r="AC13" i="3"/>
  <c r="AC14" i="3"/>
  <c r="AC15" i="3"/>
  <c r="AC4" i="3"/>
</calcChain>
</file>

<file path=xl/sharedStrings.xml><?xml version="1.0" encoding="utf-8"?>
<sst xmlns="http://schemas.openxmlformats.org/spreadsheetml/2006/main" count="188" uniqueCount="62">
  <si>
    <t>ADVANCED</t>
  </si>
  <si>
    <t>Team</t>
  </si>
  <si>
    <t>TS%</t>
  </si>
  <si>
    <t>eFG%</t>
  </si>
  <si>
    <t>3PAr</t>
  </si>
  <si>
    <t>FTr</t>
  </si>
  <si>
    <t>ORB%</t>
  </si>
  <si>
    <t>TOV%</t>
  </si>
  <si>
    <t>ORtg</t>
  </si>
  <si>
    <t>DRtg</t>
  </si>
  <si>
    <t>NRtg</t>
  </si>
  <si>
    <t>Age</t>
  </si>
  <si>
    <t>W</t>
  </si>
  <si>
    <t>L</t>
  </si>
  <si>
    <t>PW</t>
  </si>
  <si>
    <t>PL</t>
  </si>
  <si>
    <t>MOV</t>
  </si>
  <si>
    <t>SOS</t>
  </si>
  <si>
    <t>SRS</t>
  </si>
  <si>
    <t>Pace</t>
  </si>
  <si>
    <t>FT/FGA</t>
  </si>
  <si>
    <t>DRB%</t>
  </si>
  <si>
    <t>OFFENSE 4 FACTORS</t>
  </si>
  <si>
    <t>DEFENSE 4 FACTORS</t>
  </si>
  <si>
    <t>STATS</t>
  </si>
  <si>
    <t>G</t>
  </si>
  <si>
    <t>MP</t>
  </si>
  <si>
    <t>FG%</t>
  </si>
  <si>
    <t>Dist</t>
  </si>
  <si>
    <t>2P</t>
  </si>
  <si>
    <t>0-3</t>
  </si>
  <si>
    <t>3-10</t>
  </si>
  <si>
    <t>10-16</t>
  </si>
  <si>
    <t>16-3P</t>
  </si>
  <si>
    <t>3P</t>
  </si>
  <si>
    <t>%3PA</t>
  </si>
  <si>
    <t>3P%</t>
  </si>
  <si>
    <t>Frequency</t>
  </si>
  <si>
    <t>Efficiency</t>
  </si>
  <si>
    <t>% Ast'd</t>
  </si>
  <si>
    <t>Corner</t>
  </si>
  <si>
    <t>Moyenne</t>
  </si>
  <si>
    <t>Connecticut Sun*</t>
  </si>
  <si>
    <t>Las Vegas Aces*</t>
  </si>
  <si>
    <t>Seattle Storm*</t>
  </si>
  <si>
    <t>Minnesota Lynx*</t>
  </si>
  <si>
    <t>Phoenix Mercury*</t>
  </si>
  <si>
    <t>Chicago Sky*</t>
  </si>
  <si>
    <t>Dallas Wings*</t>
  </si>
  <si>
    <t>Washington Mystics</t>
  </si>
  <si>
    <t>Los Angeles Sparks</t>
  </si>
  <si>
    <t>Atlanta Dream</t>
  </si>
  <si>
    <t>New York Liberty*</t>
  </si>
  <si>
    <t>Indiana Fever</t>
  </si>
  <si>
    <t>Connecticut Sun</t>
  </si>
  <si>
    <t>Las Vegas Aces</t>
  </si>
  <si>
    <t>Seattle Storm</t>
  </si>
  <si>
    <t>Minnesota Lynx</t>
  </si>
  <si>
    <t>Phoenix Mercury</t>
  </si>
  <si>
    <t>Chicago Sky</t>
  </si>
  <si>
    <t>Dallas Wings</t>
  </si>
  <si>
    <t>New York Liberty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</si>
</sst>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Aptos Narrow"/>
      <scheme val="minor"/>
    </font>
    <font>
      <b/>
      <sz val="11"/>
      <color theme="1"/>
      <name val="Aptos Narrow"/>
      <family val="2"/>
    </font>
    <font>
      <sz val="11"/>
      <color theme="1"/>
      <name val="Aptos Narrow"/>
      <family val="2"/>
    </font>
    <font>
      <b/>
      <sz val="20"/>
      <color theme="1"/>
      <name val="Aptos Narrow"/>
      <family val="2"/>
      <scheme val="minor"/>
    </font>
    <font>
      <b/>
      <sz val="15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 applyAlignment="1">
      <alignment horizontal="center" vertical="center" wrapText="1"/>
    </xf>
    <xf numFmtId="2" fontId="2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left" vertical="center"/>
    </xf>
    <xf numFmtId="1" fontId="2" fillId="0" borderId="0" xfId="0" applyNumberFormat="1" applyFont="1" applyAlignment="1">
      <alignment horizontal="center" vertical="center" wrapText="1"/>
    </xf>
    <xf numFmtId="164" fontId="2" fillId="0" borderId="0" xfId="0" applyNumberFormat="1" applyFont="1" applyAlignment="1">
      <alignment horizontal="center" vertical="center" wrapText="1"/>
    </xf>
    <xf numFmtId="2" fontId="2" fillId="0" borderId="0" xfId="0" applyNumberFormat="1" applyFont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3" fillId="2" borderId="0" xfId="0" applyFont="1" applyFill="1"/>
    <xf numFmtId="0" fontId="4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vertical="center"/>
    </xf>
    <xf numFmtId="0" fontId="1" fillId="2" borderId="0" xfId="0" quotePrefix="1" applyFont="1" applyFill="1" applyAlignment="1">
      <alignment horizontal="center" vertical="center" wrapText="1"/>
    </xf>
    <xf numFmtId="0" fontId="0" fillId="2" borderId="0" xfId="0" applyFill="1"/>
    <xf numFmtId="0" fontId="4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63BE7B"/>
      <color rgb="FFF8696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A1139"/>
  <sheetViews>
    <sheetView tabSelected="1" workbookViewId="0">
      <pane xSplit="1" topLeftCell="B1" activePane="topRight" state="frozen"/>
      <selection pane="topRight" sqref="A1:Z1"/>
    </sheetView>
  </sheetViews>
  <sheetFormatPr baseColWidth="10" defaultColWidth="12.5703125" defaultRowHeight="15" customHeight="1" x14ac:dyDescent="0.25"/>
  <cols>
    <col min="1" max="1" width="25.7109375" customWidth="1"/>
    <col min="2" max="53" width="7.7109375" customWidth="1"/>
  </cols>
  <sheetData>
    <row r="1" spans="1:53" ht="24.95" customHeight="1" x14ac:dyDescent="0.4">
      <c r="A1" s="18" t="s">
        <v>24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C1" s="18" t="s">
        <v>24</v>
      </c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</row>
    <row r="2" spans="1:53" ht="26.25" x14ac:dyDescent="0.4">
      <c r="A2" s="11"/>
      <c r="B2" s="17" t="s">
        <v>0</v>
      </c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1"/>
      <c r="R2" s="17" t="s">
        <v>22</v>
      </c>
      <c r="S2" s="17"/>
      <c r="T2" s="17"/>
      <c r="U2" s="17"/>
      <c r="V2" s="11"/>
      <c r="W2" s="17" t="s">
        <v>23</v>
      </c>
      <c r="X2" s="17"/>
      <c r="Y2" s="17"/>
      <c r="Z2" s="17"/>
      <c r="AC2" s="17" t="s">
        <v>0</v>
      </c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2"/>
      <c r="AS2" s="17" t="s">
        <v>22</v>
      </c>
      <c r="AT2" s="17"/>
      <c r="AU2" s="17"/>
      <c r="AV2" s="17"/>
      <c r="AW2" s="12"/>
      <c r="AX2" s="17" t="s">
        <v>23</v>
      </c>
      <c r="AY2" s="17"/>
      <c r="AZ2" s="17"/>
      <c r="BA2" s="17"/>
    </row>
    <row r="3" spans="1:53" x14ac:dyDescent="0.25">
      <c r="A3" s="13" t="s">
        <v>1</v>
      </c>
      <c r="B3" s="13" t="s">
        <v>11</v>
      </c>
      <c r="C3" s="13" t="s">
        <v>12</v>
      </c>
      <c r="D3" s="13" t="s">
        <v>13</v>
      </c>
      <c r="E3" s="13" t="s">
        <v>14</v>
      </c>
      <c r="F3" s="13" t="s">
        <v>15</v>
      </c>
      <c r="G3" s="13" t="s">
        <v>16</v>
      </c>
      <c r="H3" s="13" t="s">
        <v>17</v>
      </c>
      <c r="I3" s="13" t="s">
        <v>18</v>
      </c>
      <c r="J3" s="13" t="s">
        <v>8</v>
      </c>
      <c r="K3" s="13" t="s">
        <v>9</v>
      </c>
      <c r="L3" s="13" t="s">
        <v>10</v>
      </c>
      <c r="M3" s="13" t="s">
        <v>19</v>
      </c>
      <c r="N3" s="13" t="s">
        <v>5</v>
      </c>
      <c r="O3" s="13" t="s">
        <v>4</v>
      </c>
      <c r="P3" s="13" t="s">
        <v>2</v>
      </c>
      <c r="Q3" s="13"/>
      <c r="R3" s="13" t="s">
        <v>3</v>
      </c>
      <c r="S3" s="13" t="s">
        <v>7</v>
      </c>
      <c r="T3" s="13" t="s">
        <v>6</v>
      </c>
      <c r="U3" s="13" t="s">
        <v>20</v>
      </c>
      <c r="V3" s="13"/>
      <c r="W3" s="13" t="s">
        <v>3</v>
      </c>
      <c r="X3" s="13" t="s">
        <v>7</v>
      </c>
      <c r="Y3" s="13" t="s">
        <v>21</v>
      </c>
      <c r="Z3" s="13" t="s">
        <v>20</v>
      </c>
      <c r="AC3" s="13" t="s">
        <v>11</v>
      </c>
      <c r="AD3" s="13" t="s">
        <v>12</v>
      </c>
      <c r="AE3" s="13" t="s">
        <v>13</v>
      </c>
      <c r="AF3" s="13" t="s">
        <v>14</v>
      </c>
      <c r="AG3" s="13" t="s">
        <v>15</v>
      </c>
      <c r="AH3" s="13" t="s">
        <v>16</v>
      </c>
      <c r="AI3" s="13" t="s">
        <v>17</v>
      </c>
      <c r="AJ3" s="13" t="s">
        <v>18</v>
      </c>
      <c r="AK3" s="13" t="s">
        <v>8</v>
      </c>
      <c r="AL3" s="13" t="s">
        <v>9</v>
      </c>
      <c r="AM3" s="13" t="s">
        <v>10</v>
      </c>
      <c r="AN3" s="13" t="s">
        <v>19</v>
      </c>
      <c r="AO3" s="13" t="s">
        <v>5</v>
      </c>
      <c r="AP3" s="13" t="s">
        <v>4</v>
      </c>
      <c r="AQ3" s="13" t="s">
        <v>2</v>
      </c>
      <c r="AR3" s="13"/>
      <c r="AS3" s="13" t="s">
        <v>3</v>
      </c>
      <c r="AT3" s="13" t="s">
        <v>7</v>
      </c>
      <c r="AU3" s="13" t="s">
        <v>6</v>
      </c>
      <c r="AV3" s="13" t="s">
        <v>20</v>
      </c>
      <c r="AW3" s="13"/>
      <c r="AX3" s="13" t="s">
        <v>3</v>
      </c>
      <c r="AY3" s="13" t="s">
        <v>7</v>
      </c>
      <c r="AZ3" s="13" t="s">
        <v>21</v>
      </c>
      <c r="BA3" s="13" t="s">
        <v>20</v>
      </c>
    </row>
    <row r="4" spans="1:53" x14ac:dyDescent="0.25">
      <c r="A4" s="6" t="s">
        <v>54</v>
      </c>
      <c r="B4" s="8">
        <v>28.3</v>
      </c>
      <c r="C4" s="1">
        <v>26</v>
      </c>
      <c r="D4" s="1">
        <v>6</v>
      </c>
      <c r="E4" s="1">
        <v>28</v>
      </c>
      <c r="F4" s="1">
        <v>4</v>
      </c>
      <c r="G4" s="9">
        <v>9.81</v>
      </c>
      <c r="H4" s="9">
        <v>-0.95</v>
      </c>
      <c r="I4" s="9">
        <v>8.86</v>
      </c>
      <c r="J4" s="9">
        <v>106.9</v>
      </c>
      <c r="K4" s="9">
        <v>93.7</v>
      </c>
      <c r="L4" s="9">
        <v>13.2</v>
      </c>
      <c r="M4" s="9">
        <v>74</v>
      </c>
      <c r="N4" s="9">
        <v>0.27</v>
      </c>
      <c r="O4" s="9">
        <v>0.29799999999999999</v>
      </c>
      <c r="P4" s="9">
        <v>0.54300000000000004</v>
      </c>
      <c r="Q4" s="1"/>
      <c r="R4" s="9">
        <v>0.497</v>
      </c>
      <c r="S4" s="9">
        <v>15.9</v>
      </c>
      <c r="T4" s="9">
        <v>31.2</v>
      </c>
      <c r="U4" s="9">
        <v>0.22</v>
      </c>
      <c r="V4" s="1"/>
      <c r="W4" s="9">
        <v>0.45900000000000002</v>
      </c>
      <c r="X4" s="9">
        <v>16.100000000000001</v>
      </c>
      <c r="Y4" s="9">
        <v>82.1</v>
      </c>
      <c r="Z4" s="9">
        <v>0.20100000000000001</v>
      </c>
      <c r="AA4" s="5"/>
      <c r="AB4" s="5"/>
      <c r="AC4" s="5">
        <f t="shared" ref="AC4:AQ18" si="0">RANK(B4,B$4:B$18,0)</f>
        <v>4</v>
      </c>
      <c r="AD4" s="5">
        <f t="shared" si="0"/>
        <v>1</v>
      </c>
      <c r="AE4" s="5">
        <f>RANK(D4,D$4:D$18,1)</f>
        <v>1</v>
      </c>
      <c r="AF4" s="5">
        <f t="shared" si="0"/>
        <v>1</v>
      </c>
      <c r="AG4" s="5">
        <f>RANK(F4,F$4:F$18,1)</f>
        <v>1</v>
      </c>
      <c r="AH4" s="5">
        <f t="shared" si="0"/>
        <v>1</v>
      </c>
      <c r="AI4" s="5">
        <f t="shared" si="0"/>
        <v>12</v>
      </c>
      <c r="AJ4" s="5">
        <f t="shared" si="0"/>
        <v>1</v>
      </c>
      <c r="AK4" s="5">
        <f t="shared" si="0"/>
        <v>2</v>
      </c>
      <c r="AL4" s="5">
        <f>RANK(K4,K$4:K$18,1)</f>
        <v>1</v>
      </c>
      <c r="AM4" s="5">
        <f t="shared" si="0"/>
        <v>1</v>
      </c>
      <c r="AN4" s="5">
        <f t="shared" si="0"/>
        <v>12</v>
      </c>
      <c r="AO4" s="5">
        <f t="shared" si="0"/>
        <v>3</v>
      </c>
      <c r="AP4" s="5">
        <f t="shared" si="0"/>
        <v>8</v>
      </c>
      <c r="AQ4" s="5">
        <f t="shared" si="0"/>
        <v>5</v>
      </c>
      <c r="AR4" s="5"/>
      <c r="AS4" s="5">
        <f>RANK(R4,R$4:R$18,0)</f>
        <v>6</v>
      </c>
      <c r="AT4" s="5">
        <f>RANK(S4,S$4:S$18,1)</f>
        <v>11</v>
      </c>
      <c r="AU4" s="5">
        <f>RANK(T4,T$4:T$18,0)</f>
        <v>1</v>
      </c>
      <c r="AV4" s="5">
        <f>RANK(U4,U$4:U$18,0)</f>
        <v>3</v>
      </c>
      <c r="AW4" s="5"/>
      <c r="AX4" s="5">
        <f>RANK(W4,W$4:W$18,1)</f>
        <v>1</v>
      </c>
      <c r="AY4" s="5">
        <f>RANK(X4,X$4:X$18,0)</f>
        <v>3</v>
      </c>
      <c r="AZ4" s="5">
        <f>RANK(Y4,Y$4:Y$18,0)</f>
        <v>1</v>
      </c>
      <c r="BA4" s="5">
        <f>RANK(Z4,Z$4:Z$18,1)</f>
        <v>5</v>
      </c>
    </row>
    <row r="5" spans="1:53" x14ac:dyDescent="0.25">
      <c r="A5" s="6" t="s">
        <v>55</v>
      </c>
      <c r="B5" s="8">
        <v>26.4</v>
      </c>
      <c r="C5" s="1">
        <v>24</v>
      </c>
      <c r="D5" s="1">
        <v>8</v>
      </c>
      <c r="E5" s="1">
        <v>26</v>
      </c>
      <c r="F5" s="1">
        <v>6</v>
      </c>
      <c r="G5" s="9">
        <v>9.06</v>
      </c>
      <c r="H5" s="9">
        <v>-0.62</v>
      </c>
      <c r="I5" s="9">
        <v>8.44</v>
      </c>
      <c r="J5" s="9">
        <v>109.1</v>
      </c>
      <c r="K5" s="9">
        <v>98</v>
      </c>
      <c r="L5" s="9">
        <v>11.1</v>
      </c>
      <c r="M5" s="9">
        <v>80.8</v>
      </c>
      <c r="N5" s="9">
        <v>0.312</v>
      </c>
      <c r="O5" s="9">
        <v>0.192</v>
      </c>
      <c r="P5" s="9">
        <v>0.55900000000000005</v>
      </c>
      <c r="Q5" s="1"/>
      <c r="R5" s="9">
        <v>0.50800000000000001</v>
      </c>
      <c r="S5" s="9">
        <v>12.6</v>
      </c>
      <c r="T5" s="9">
        <v>21.3</v>
      </c>
      <c r="U5" s="9">
        <v>0.255</v>
      </c>
      <c r="V5" s="1"/>
      <c r="W5" s="9">
        <v>0.46400000000000002</v>
      </c>
      <c r="X5" s="9">
        <v>12.5</v>
      </c>
      <c r="Y5" s="9">
        <v>80</v>
      </c>
      <c r="Z5" s="9">
        <v>0.16500000000000001</v>
      </c>
      <c r="AA5" s="5"/>
      <c r="AB5" s="5"/>
      <c r="AC5" s="5">
        <f t="shared" ref="AC5:AC18" si="1">RANK(B5,B$4:B$18,0)</f>
        <v>10</v>
      </c>
      <c r="AD5" s="5">
        <f t="shared" ref="AD5:AD18" si="2">RANK(C5,C$4:C$18,0)</f>
        <v>2</v>
      </c>
      <c r="AE5" s="5">
        <f t="shared" ref="AE5:AE18" si="3">RANK(D5,D$4:D$18,1)</f>
        <v>2</v>
      </c>
      <c r="AF5" s="5">
        <f t="shared" si="0"/>
        <v>2</v>
      </c>
      <c r="AG5" s="5">
        <f t="shared" ref="AG5:AG18" si="4">RANK(F5,F$4:F$18,1)</f>
        <v>2</v>
      </c>
      <c r="AH5" s="5">
        <f t="shared" ref="AH5:AH18" si="5">RANK(G5,G$4:G$18,0)</f>
        <v>2</v>
      </c>
      <c r="AI5" s="5">
        <f t="shared" ref="AI5:AI18" si="6">RANK(H5,H$4:H$18,0)</f>
        <v>10</v>
      </c>
      <c r="AJ5" s="5">
        <f t="shared" ref="AJ5:AJ18" si="7">RANK(I5,I$4:I$18,0)</f>
        <v>2</v>
      </c>
      <c r="AK5" s="5">
        <f t="shared" ref="AK5:AK18" si="8">RANK(J5,J$4:J$18,0)</f>
        <v>1</v>
      </c>
      <c r="AL5" s="5">
        <f t="shared" ref="AL5:AL18" si="9">RANK(K5,K$4:K$18,1)</f>
        <v>2</v>
      </c>
      <c r="AM5" s="5">
        <f t="shared" ref="AM5:AM18" si="10">RANK(L5,L$4:L$18,0)</f>
        <v>2</v>
      </c>
      <c r="AN5" s="5">
        <f t="shared" ref="AN5:AN18" si="11">RANK(M5,M$4:M$18,0)</f>
        <v>1</v>
      </c>
      <c r="AO5" s="5">
        <f t="shared" ref="AO5:AO18" si="12">RANK(N5,N$4:N$18,0)</f>
        <v>1</v>
      </c>
      <c r="AP5" s="5">
        <f t="shared" ref="AP5:AP18" si="13">RANK(O5,O$4:O$18,0)</f>
        <v>12</v>
      </c>
      <c r="AQ5" s="5">
        <f t="shared" ref="AQ5:AQ18" si="14">RANK(P5,P$4:P$18,0)</f>
        <v>1</v>
      </c>
      <c r="AR5" s="5"/>
      <c r="AS5" s="5">
        <f t="shared" ref="AS5:AU11" si="15">RANK(R5,R$4:R$18,0)</f>
        <v>2</v>
      </c>
      <c r="AT5" s="5">
        <f t="shared" ref="AT5:AT18" si="16">RANK(S5,S$4:S$18,1)</f>
        <v>2</v>
      </c>
      <c r="AU5" s="5">
        <f t="shared" si="15"/>
        <v>9</v>
      </c>
      <c r="AV5" s="5">
        <f t="shared" ref="AV5:AV18" si="17">RANK(U5,U$4:U$18,0)</f>
        <v>1</v>
      </c>
      <c r="AW5" s="5"/>
      <c r="AX5" s="5">
        <f t="shared" ref="AX5:AX18" si="18">RANK(W5,W$4:W$18,1)</f>
        <v>2</v>
      </c>
      <c r="AY5" s="5">
        <f t="shared" ref="AY5:AZ18" si="19">RANK(X5,X$4:X$18,0)</f>
        <v>11</v>
      </c>
      <c r="AZ5" s="5">
        <f t="shared" si="19"/>
        <v>2</v>
      </c>
      <c r="BA5" s="5">
        <f t="shared" ref="BA5:BA18" si="20">RANK(Z5,Z$4:Z$18,1)</f>
        <v>1</v>
      </c>
    </row>
    <row r="6" spans="1:53" x14ac:dyDescent="0.25">
      <c r="A6" s="6" t="s">
        <v>56</v>
      </c>
      <c r="B6" s="8">
        <v>28.1</v>
      </c>
      <c r="C6" s="1">
        <v>21</v>
      </c>
      <c r="D6" s="1">
        <v>11</v>
      </c>
      <c r="E6" s="1">
        <v>22</v>
      </c>
      <c r="F6" s="1">
        <v>10</v>
      </c>
      <c r="G6" s="9">
        <v>4.4400000000000004</v>
      </c>
      <c r="H6" s="9">
        <v>-0.63</v>
      </c>
      <c r="I6" s="9">
        <v>3.8</v>
      </c>
      <c r="J6" s="9">
        <v>106.3</v>
      </c>
      <c r="K6" s="9">
        <v>100.7</v>
      </c>
      <c r="L6" s="9">
        <v>5.6</v>
      </c>
      <c r="M6" s="9">
        <v>78.2</v>
      </c>
      <c r="N6" s="9">
        <v>0.246</v>
      </c>
      <c r="O6" s="9">
        <v>0.32800000000000001</v>
      </c>
      <c r="P6" s="9">
        <v>0.55600000000000005</v>
      </c>
      <c r="Q6" s="1"/>
      <c r="R6" s="9">
        <v>0.51200000000000001</v>
      </c>
      <c r="S6" s="9">
        <v>13.9</v>
      </c>
      <c r="T6" s="9">
        <v>20.9</v>
      </c>
      <c r="U6" s="9">
        <v>0.20599999999999999</v>
      </c>
      <c r="V6" s="1"/>
      <c r="W6" s="9">
        <v>0.48299999999999998</v>
      </c>
      <c r="X6" s="9">
        <v>14.4</v>
      </c>
      <c r="Y6" s="9">
        <v>78.599999999999994</v>
      </c>
      <c r="Z6" s="9">
        <v>0.18</v>
      </c>
      <c r="AA6" s="5"/>
      <c r="AB6" s="5"/>
      <c r="AC6" s="5">
        <f t="shared" si="1"/>
        <v>5</v>
      </c>
      <c r="AD6" s="5">
        <f t="shared" si="2"/>
        <v>4</v>
      </c>
      <c r="AE6" s="5">
        <f t="shared" si="3"/>
        <v>4</v>
      </c>
      <c r="AF6" s="5">
        <f t="shared" si="0"/>
        <v>3</v>
      </c>
      <c r="AG6" s="5">
        <f t="shared" si="4"/>
        <v>3</v>
      </c>
      <c r="AH6" s="5">
        <f t="shared" si="5"/>
        <v>3</v>
      </c>
      <c r="AI6" s="5">
        <f t="shared" si="6"/>
        <v>11</v>
      </c>
      <c r="AJ6" s="5">
        <f t="shared" si="7"/>
        <v>3</v>
      </c>
      <c r="AK6" s="5">
        <f t="shared" si="8"/>
        <v>4</v>
      </c>
      <c r="AL6" s="5">
        <f t="shared" si="9"/>
        <v>5</v>
      </c>
      <c r="AM6" s="5">
        <f t="shared" si="10"/>
        <v>3</v>
      </c>
      <c r="AN6" s="5">
        <f t="shared" si="11"/>
        <v>7</v>
      </c>
      <c r="AO6" s="5">
        <f t="shared" si="12"/>
        <v>7</v>
      </c>
      <c r="AP6" s="5">
        <f t="shared" si="13"/>
        <v>4</v>
      </c>
      <c r="AQ6" s="5">
        <f t="shared" si="14"/>
        <v>2</v>
      </c>
      <c r="AR6" s="5"/>
      <c r="AS6" s="5">
        <f t="shared" si="15"/>
        <v>1</v>
      </c>
      <c r="AT6" s="5">
        <f t="shared" si="16"/>
        <v>4</v>
      </c>
      <c r="AU6" s="5">
        <f t="shared" si="15"/>
        <v>10</v>
      </c>
      <c r="AV6" s="5">
        <f t="shared" si="17"/>
        <v>5</v>
      </c>
      <c r="AW6" s="5"/>
      <c r="AX6" s="5">
        <f t="shared" si="18"/>
        <v>7</v>
      </c>
      <c r="AY6" s="5">
        <f t="shared" si="19"/>
        <v>7</v>
      </c>
      <c r="AZ6" s="5">
        <f t="shared" si="19"/>
        <v>4</v>
      </c>
      <c r="BA6" s="5">
        <f t="shared" si="20"/>
        <v>3</v>
      </c>
    </row>
    <row r="7" spans="1:53" x14ac:dyDescent="0.25">
      <c r="A7" s="6" t="s">
        <v>57</v>
      </c>
      <c r="B7" s="8">
        <v>27.6</v>
      </c>
      <c r="C7" s="1">
        <v>22</v>
      </c>
      <c r="D7" s="1">
        <v>10</v>
      </c>
      <c r="E7" s="1">
        <v>21</v>
      </c>
      <c r="F7" s="1">
        <v>11</v>
      </c>
      <c r="G7" s="9">
        <v>4</v>
      </c>
      <c r="H7" s="9">
        <v>-0.37</v>
      </c>
      <c r="I7" s="9">
        <v>3.63</v>
      </c>
      <c r="J7" s="9">
        <v>104.2</v>
      </c>
      <c r="K7" s="9">
        <v>99.1</v>
      </c>
      <c r="L7" s="9">
        <v>5.0999999999999996</v>
      </c>
      <c r="M7" s="9">
        <v>78.7</v>
      </c>
      <c r="N7" s="9">
        <v>0.26</v>
      </c>
      <c r="O7" s="9">
        <v>0.29599999999999999</v>
      </c>
      <c r="P7" s="9">
        <v>0.55300000000000005</v>
      </c>
      <c r="Q7" s="1"/>
      <c r="R7" s="9">
        <v>0.50800000000000001</v>
      </c>
      <c r="S7" s="9">
        <v>15.8</v>
      </c>
      <c r="T7" s="9">
        <v>22.3</v>
      </c>
      <c r="U7" s="9">
        <v>0.218</v>
      </c>
      <c r="V7" s="1"/>
      <c r="W7" s="9">
        <v>0.47599999999999998</v>
      </c>
      <c r="X7" s="9">
        <v>14.6</v>
      </c>
      <c r="Y7" s="9">
        <v>79.7</v>
      </c>
      <c r="Z7" s="9">
        <v>0.19400000000000001</v>
      </c>
      <c r="AA7" s="5"/>
      <c r="AB7" s="5"/>
      <c r="AC7" s="5">
        <f t="shared" si="1"/>
        <v>6</v>
      </c>
      <c r="AD7" s="5">
        <f t="shared" si="2"/>
        <v>3</v>
      </c>
      <c r="AE7" s="5">
        <f t="shared" si="3"/>
        <v>3</v>
      </c>
      <c r="AF7" s="5">
        <f t="shared" si="0"/>
        <v>4</v>
      </c>
      <c r="AG7" s="5">
        <f t="shared" si="4"/>
        <v>4</v>
      </c>
      <c r="AH7" s="5">
        <f t="shared" si="5"/>
        <v>4</v>
      </c>
      <c r="AI7" s="5">
        <f t="shared" si="6"/>
        <v>9</v>
      </c>
      <c r="AJ7" s="5">
        <f t="shared" si="7"/>
        <v>4</v>
      </c>
      <c r="AK7" s="5">
        <f t="shared" si="8"/>
        <v>6</v>
      </c>
      <c r="AL7" s="5">
        <f t="shared" si="9"/>
        <v>3</v>
      </c>
      <c r="AM7" s="5">
        <f t="shared" si="10"/>
        <v>4</v>
      </c>
      <c r="AN7" s="5">
        <f t="shared" si="11"/>
        <v>4</v>
      </c>
      <c r="AO7" s="5">
        <f t="shared" si="12"/>
        <v>4</v>
      </c>
      <c r="AP7" s="5">
        <f t="shared" si="13"/>
        <v>9</v>
      </c>
      <c r="AQ7" s="5">
        <f t="shared" si="14"/>
        <v>3</v>
      </c>
      <c r="AR7" s="5"/>
      <c r="AS7" s="5">
        <f t="shared" si="15"/>
        <v>2</v>
      </c>
      <c r="AT7" s="5">
        <f t="shared" si="16"/>
        <v>10</v>
      </c>
      <c r="AU7" s="5">
        <f t="shared" si="15"/>
        <v>7</v>
      </c>
      <c r="AV7" s="5">
        <f t="shared" si="17"/>
        <v>4</v>
      </c>
      <c r="AW7" s="5"/>
      <c r="AX7" s="5">
        <f t="shared" si="18"/>
        <v>4</v>
      </c>
      <c r="AY7" s="5">
        <f t="shared" si="19"/>
        <v>6</v>
      </c>
      <c r="AZ7" s="5">
        <f t="shared" si="19"/>
        <v>3</v>
      </c>
      <c r="BA7" s="5">
        <f t="shared" si="20"/>
        <v>4</v>
      </c>
    </row>
    <row r="8" spans="1:53" x14ac:dyDescent="0.25">
      <c r="A8" s="6" t="s">
        <v>58</v>
      </c>
      <c r="B8" s="8">
        <v>28.4</v>
      </c>
      <c r="C8" s="1">
        <v>19</v>
      </c>
      <c r="D8" s="1">
        <v>13</v>
      </c>
      <c r="E8" s="1">
        <v>19</v>
      </c>
      <c r="F8" s="1">
        <v>13</v>
      </c>
      <c r="G8" s="9">
        <v>2.56</v>
      </c>
      <c r="H8" s="9">
        <v>-0.12</v>
      </c>
      <c r="I8" s="9">
        <v>2.4500000000000002</v>
      </c>
      <c r="J8" s="9">
        <v>106.5</v>
      </c>
      <c r="K8" s="9">
        <v>103.2</v>
      </c>
      <c r="L8" s="9">
        <v>3.3</v>
      </c>
      <c r="M8" s="9">
        <v>76.400000000000006</v>
      </c>
      <c r="N8" s="9">
        <v>0.29499999999999998</v>
      </c>
      <c r="O8" s="9">
        <v>0.33200000000000002</v>
      </c>
      <c r="P8" s="9">
        <v>0.55300000000000005</v>
      </c>
      <c r="Q8" s="1"/>
      <c r="R8" s="9">
        <v>0.50700000000000001</v>
      </c>
      <c r="S8" s="9">
        <v>14.7</v>
      </c>
      <c r="T8" s="9">
        <v>23.8</v>
      </c>
      <c r="U8" s="9">
        <v>0.23499999999999999</v>
      </c>
      <c r="V8" s="1"/>
      <c r="W8" s="9">
        <v>0.46600000000000003</v>
      </c>
      <c r="X8" s="9">
        <v>11.3</v>
      </c>
      <c r="Y8" s="9">
        <v>75.099999999999994</v>
      </c>
      <c r="Z8" s="9">
        <v>0.16700000000000001</v>
      </c>
      <c r="AA8" s="5"/>
      <c r="AB8" s="5"/>
      <c r="AC8" s="5">
        <f t="shared" si="1"/>
        <v>2</v>
      </c>
      <c r="AD8" s="5">
        <f t="shared" si="2"/>
        <v>5</v>
      </c>
      <c r="AE8" s="5">
        <f t="shared" si="3"/>
        <v>5</v>
      </c>
      <c r="AF8" s="5">
        <f t="shared" si="0"/>
        <v>5</v>
      </c>
      <c r="AG8" s="5">
        <f t="shared" si="4"/>
        <v>5</v>
      </c>
      <c r="AH8" s="5">
        <f t="shared" si="5"/>
        <v>5</v>
      </c>
      <c r="AI8" s="5">
        <f t="shared" si="6"/>
        <v>7</v>
      </c>
      <c r="AJ8" s="5">
        <f t="shared" si="7"/>
        <v>5</v>
      </c>
      <c r="AK8" s="5">
        <f t="shared" si="8"/>
        <v>3</v>
      </c>
      <c r="AL8" s="5">
        <f t="shared" si="9"/>
        <v>7</v>
      </c>
      <c r="AM8" s="5">
        <f t="shared" si="10"/>
        <v>5</v>
      </c>
      <c r="AN8" s="5">
        <f t="shared" si="11"/>
        <v>11</v>
      </c>
      <c r="AO8" s="5">
        <f t="shared" si="12"/>
        <v>2</v>
      </c>
      <c r="AP8" s="5">
        <f t="shared" si="13"/>
        <v>3</v>
      </c>
      <c r="AQ8" s="5">
        <f t="shared" si="14"/>
        <v>3</v>
      </c>
      <c r="AR8" s="5"/>
      <c r="AS8" s="5">
        <f t="shared" si="15"/>
        <v>4</v>
      </c>
      <c r="AT8" s="5">
        <f t="shared" si="16"/>
        <v>6</v>
      </c>
      <c r="AU8" s="5">
        <f t="shared" si="15"/>
        <v>5</v>
      </c>
      <c r="AV8" s="5">
        <f t="shared" si="17"/>
        <v>2</v>
      </c>
      <c r="AW8" s="5"/>
      <c r="AX8" s="5">
        <f t="shared" si="18"/>
        <v>3</v>
      </c>
      <c r="AY8" s="5">
        <f t="shared" si="19"/>
        <v>12</v>
      </c>
      <c r="AZ8" s="5">
        <f t="shared" si="19"/>
        <v>9</v>
      </c>
      <c r="BA8" s="5">
        <f t="shared" si="20"/>
        <v>2</v>
      </c>
    </row>
    <row r="9" spans="1:53" x14ac:dyDescent="0.25">
      <c r="A9" s="6" t="s">
        <v>59</v>
      </c>
      <c r="B9" s="8">
        <v>28.4</v>
      </c>
      <c r="C9" s="1">
        <v>16</v>
      </c>
      <c r="D9" s="1">
        <v>16</v>
      </c>
      <c r="E9" s="1">
        <v>18</v>
      </c>
      <c r="F9" s="1">
        <v>14</v>
      </c>
      <c r="G9" s="9">
        <v>1.31</v>
      </c>
      <c r="H9" s="9">
        <v>-0.22</v>
      </c>
      <c r="I9" s="9">
        <v>1.1000000000000001</v>
      </c>
      <c r="J9" s="9">
        <v>102.9</v>
      </c>
      <c r="K9" s="9">
        <v>101.3</v>
      </c>
      <c r="L9" s="9">
        <v>1.6</v>
      </c>
      <c r="M9" s="9">
        <v>79.599999999999994</v>
      </c>
      <c r="N9" s="9">
        <v>0.24299999999999999</v>
      </c>
      <c r="O9" s="9">
        <v>0.30399999999999999</v>
      </c>
      <c r="P9" s="9">
        <v>0.53800000000000003</v>
      </c>
      <c r="Q9" s="1"/>
      <c r="R9" s="9">
        <v>0.49299999999999999</v>
      </c>
      <c r="S9" s="9">
        <v>15.1</v>
      </c>
      <c r="T9" s="9">
        <v>23.8</v>
      </c>
      <c r="U9" s="9">
        <v>0.20499999999999999</v>
      </c>
      <c r="V9" s="1"/>
      <c r="W9" s="9">
        <v>0.48</v>
      </c>
      <c r="X9" s="9">
        <v>15.9</v>
      </c>
      <c r="Y9" s="9">
        <v>73.900000000000006</v>
      </c>
      <c r="Z9" s="9">
        <v>0.21199999999999999</v>
      </c>
      <c r="AA9" s="5"/>
      <c r="AB9" s="5"/>
      <c r="AC9" s="5">
        <f t="shared" si="1"/>
        <v>2</v>
      </c>
      <c r="AD9" s="5">
        <f t="shared" si="2"/>
        <v>6</v>
      </c>
      <c r="AE9" s="5">
        <f t="shared" si="3"/>
        <v>6</v>
      </c>
      <c r="AF9" s="5">
        <f t="shared" si="0"/>
        <v>6</v>
      </c>
      <c r="AG9" s="5">
        <f t="shared" si="4"/>
        <v>6</v>
      </c>
      <c r="AH9" s="5">
        <f t="shared" si="5"/>
        <v>6</v>
      </c>
      <c r="AI9" s="5">
        <f t="shared" si="6"/>
        <v>8</v>
      </c>
      <c r="AJ9" s="5">
        <f t="shared" si="7"/>
        <v>6</v>
      </c>
      <c r="AK9" s="5">
        <f t="shared" si="8"/>
        <v>7</v>
      </c>
      <c r="AL9" s="5">
        <f t="shared" si="9"/>
        <v>6</v>
      </c>
      <c r="AM9" s="5">
        <f t="shared" si="10"/>
        <v>6</v>
      </c>
      <c r="AN9" s="5">
        <f t="shared" si="11"/>
        <v>3</v>
      </c>
      <c r="AO9" s="5">
        <f t="shared" si="12"/>
        <v>8</v>
      </c>
      <c r="AP9" s="5">
        <f t="shared" si="13"/>
        <v>7</v>
      </c>
      <c r="AQ9" s="5">
        <f t="shared" si="14"/>
        <v>7</v>
      </c>
      <c r="AR9" s="5"/>
      <c r="AS9" s="5">
        <f t="shared" si="15"/>
        <v>7</v>
      </c>
      <c r="AT9" s="5">
        <f t="shared" si="16"/>
        <v>7</v>
      </c>
      <c r="AU9" s="5">
        <f t="shared" si="15"/>
        <v>5</v>
      </c>
      <c r="AV9" s="5">
        <f t="shared" si="17"/>
        <v>6</v>
      </c>
      <c r="AW9" s="5"/>
      <c r="AX9" s="5">
        <f t="shared" si="18"/>
        <v>6</v>
      </c>
      <c r="AY9" s="5">
        <f t="shared" si="19"/>
        <v>4</v>
      </c>
      <c r="AZ9" s="5">
        <f t="shared" si="19"/>
        <v>10</v>
      </c>
      <c r="BA9" s="5">
        <f t="shared" si="20"/>
        <v>9</v>
      </c>
    </row>
    <row r="10" spans="1:53" x14ac:dyDescent="0.25">
      <c r="A10" s="6" t="s">
        <v>60</v>
      </c>
      <c r="B10" s="8">
        <v>24.8</v>
      </c>
      <c r="C10" s="1">
        <v>14</v>
      </c>
      <c r="D10" s="1">
        <v>18</v>
      </c>
      <c r="E10" s="1">
        <v>15</v>
      </c>
      <c r="F10" s="1">
        <v>17</v>
      </c>
      <c r="G10" s="9">
        <v>-0.53</v>
      </c>
      <c r="H10" s="9">
        <v>0.3</v>
      </c>
      <c r="I10" s="9">
        <v>-0.23</v>
      </c>
      <c r="J10" s="9">
        <v>104.3</v>
      </c>
      <c r="K10" s="9">
        <v>105</v>
      </c>
      <c r="L10" s="9">
        <v>-0.7</v>
      </c>
      <c r="M10" s="9">
        <v>77.2</v>
      </c>
      <c r="N10" s="9">
        <v>0.23300000000000001</v>
      </c>
      <c r="O10" s="9">
        <v>0.32700000000000001</v>
      </c>
      <c r="P10" s="9">
        <v>0.52100000000000002</v>
      </c>
      <c r="Q10" s="1"/>
      <c r="R10" s="9">
        <v>0.47699999999999998</v>
      </c>
      <c r="S10" s="9">
        <v>14.1</v>
      </c>
      <c r="T10" s="9">
        <v>27.8</v>
      </c>
      <c r="U10" s="9">
        <v>0.193</v>
      </c>
      <c r="V10" s="1"/>
      <c r="W10" s="9">
        <v>0.505</v>
      </c>
      <c r="X10" s="9">
        <v>14.1</v>
      </c>
      <c r="Y10" s="9">
        <v>77.599999999999994</v>
      </c>
      <c r="Z10" s="9">
        <v>0.20599999999999999</v>
      </c>
      <c r="AA10" s="5"/>
      <c r="AB10" s="5"/>
      <c r="AC10" s="5">
        <f t="shared" si="1"/>
        <v>12</v>
      </c>
      <c r="AD10" s="5">
        <f t="shared" si="2"/>
        <v>7</v>
      </c>
      <c r="AE10" s="5">
        <f t="shared" si="3"/>
        <v>7</v>
      </c>
      <c r="AF10" s="5">
        <f t="shared" si="0"/>
        <v>7</v>
      </c>
      <c r="AG10" s="5">
        <f t="shared" si="4"/>
        <v>7</v>
      </c>
      <c r="AH10" s="5">
        <f t="shared" si="5"/>
        <v>7</v>
      </c>
      <c r="AI10" s="5">
        <f t="shared" si="6"/>
        <v>4</v>
      </c>
      <c r="AJ10" s="5">
        <f t="shared" si="7"/>
        <v>7</v>
      </c>
      <c r="AK10" s="5">
        <f t="shared" si="8"/>
        <v>5</v>
      </c>
      <c r="AL10" s="5">
        <f t="shared" si="9"/>
        <v>8</v>
      </c>
      <c r="AM10" s="5">
        <f t="shared" si="10"/>
        <v>7</v>
      </c>
      <c r="AN10" s="5">
        <f t="shared" si="11"/>
        <v>9</v>
      </c>
      <c r="AO10" s="5">
        <f t="shared" si="12"/>
        <v>10</v>
      </c>
      <c r="AP10" s="5">
        <f t="shared" si="13"/>
        <v>5</v>
      </c>
      <c r="AQ10" s="5">
        <f t="shared" si="14"/>
        <v>8</v>
      </c>
      <c r="AR10" s="5"/>
      <c r="AS10" s="5">
        <f t="shared" si="15"/>
        <v>8</v>
      </c>
      <c r="AT10" s="5">
        <f t="shared" si="16"/>
        <v>5</v>
      </c>
      <c r="AU10" s="5">
        <f t="shared" si="15"/>
        <v>2</v>
      </c>
      <c r="AV10" s="5">
        <f t="shared" si="17"/>
        <v>9</v>
      </c>
      <c r="AW10" s="5"/>
      <c r="AX10" s="5">
        <f t="shared" si="18"/>
        <v>9</v>
      </c>
      <c r="AY10" s="5">
        <f t="shared" si="19"/>
        <v>8</v>
      </c>
      <c r="AZ10" s="5">
        <f t="shared" si="19"/>
        <v>5</v>
      </c>
      <c r="BA10" s="5">
        <f t="shared" si="20"/>
        <v>7</v>
      </c>
    </row>
    <row r="11" spans="1:53" x14ac:dyDescent="0.25">
      <c r="A11" s="6" t="s">
        <v>49</v>
      </c>
      <c r="B11" s="8">
        <v>28.8</v>
      </c>
      <c r="C11" s="1">
        <v>12</v>
      </c>
      <c r="D11" s="1">
        <v>20</v>
      </c>
      <c r="E11" s="1">
        <v>11</v>
      </c>
      <c r="F11" s="1">
        <v>21</v>
      </c>
      <c r="G11" s="9">
        <v>-3.84</v>
      </c>
      <c r="H11" s="9">
        <v>0.26</v>
      </c>
      <c r="I11" s="9">
        <v>-3.58</v>
      </c>
      <c r="J11" s="9">
        <v>101.5</v>
      </c>
      <c r="K11" s="9">
        <v>106.4</v>
      </c>
      <c r="L11" s="9">
        <v>-4.9000000000000004</v>
      </c>
      <c r="M11" s="9">
        <v>78.3</v>
      </c>
      <c r="N11" s="9">
        <v>0.251</v>
      </c>
      <c r="O11" s="9">
        <v>0.39600000000000002</v>
      </c>
      <c r="P11" s="9">
        <v>0.51900000000000002</v>
      </c>
      <c r="Q11" s="1"/>
      <c r="R11" s="9">
        <v>0.47499999999999998</v>
      </c>
      <c r="S11" s="9">
        <v>13.7</v>
      </c>
      <c r="T11" s="9">
        <v>21.9</v>
      </c>
      <c r="U11" s="9">
        <v>0.20300000000000001</v>
      </c>
      <c r="V11" s="1"/>
      <c r="W11" s="9">
        <v>0.52</v>
      </c>
      <c r="X11" s="9">
        <v>15.3</v>
      </c>
      <c r="Y11" s="9">
        <v>76.400000000000006</v>
      </c>
      <c r="Z11" s="9">
        <v>0.20799999999999999</v>
      </c>
      <c r="AA11" s="5"/>
      <c r="AB11" s="5"/>
      <c r="AC11" s="5">
        <f t="shared" si="1"/>
        <v>1</v>
      </c>
      <c r="AD11" s="5">
        <f t="shared" si="2"/>
        <v>8</v>
      </c>
      <c r="AE11" s="5">
        <f t="shared" si="3"/>
        <v>8</v>
      </c>
      <c r="AF11" s="5">
        <f t="shared" si="0"/>
        <v>8</v>
      </c>
      <c r="AG11" s="5">
        <f t="shared" si="4"/>
        <v>8</v>
      </c>
      <c r="AH11" s="5">
        <f t="shared" si="5"/>
        <v>8</v>
      </c>
      <c r="AI11" s="5">
        <f t="shared" si="6"/>
        <v>5</v>
      </c>
      <c r="AJ11" s="5">
        <f t="shared" si="7"/>
        <v>8</v>
      </c>
      <c r="AK11" s="5">
        <f t="shared" si="8"/>
        <v>8</v>
      </c>
      <c r="AL11" s="5">
        <f t="shared" si="9"/>
        <v>10</v>
      </c>
      <c r="AM11" s="5">
        <f t="shared" si="10"/>
        <v>8</v>
      </c>
      <c r="AN11" s="5">
        <f t="shared" si="11"/>
        <v>6</v>
      </c>
      <c r="AO11" s="5">
        <f t="shared" si="12"/>
        <v>5</v>
      </c>
      <c r="AP11" s="5">
        <f t="shared" si="13"/>
        <v>2</v>
      </c>
      <c r="AQ11" s="5">
        <f t="shared" si="14"/>
        <v>9</v>
      </c>
      <c r="AR11" s="5"/>
      <c r="AS11" s="5">
        <f t="shared" si="15"/>
        <v>9</v>
      </c>
      <c r="AT11" s="5">
        <f t="shared" si="16"/>
        <v>3</v>
      </c>
      <c r="AU11" s="5">
        <f t="shared" si="15"/>
        <v>8</v>
      </c>
      <c r="AV11" s="5">
        <f t="shared" si="17"/>
        <v>7</v>
      </c>
      <c r="AW11" s="5"/>
      <c r="AX11" s="5">
        <f t="shared" si="18"/>
        <v>11</v>
      </c>
      <c r="AY11" s="5">
        <f t="shared" si="19"/>
        <v>5</v>
      </c>
      <c r="AZ11" s="5">
        <f t="shared" si="19"/>
        <v>6</v>
      </c>
      <c r="BA11" s="5">
        <f t="shared" si="20"/>
        <v>8</v>
      </c>
    </row>
    <row r="12" spans="1:53" x14ac:dyDescent="0.25">
      <c r="A12" s="6" t="s">
        <v>50</v>
      </c>
      <c r="B12" s="8">
        <v>27.5</v>
      </c>
      <c r="C12" s="1">
        <v>12</v>
      </c>
      <c r="D12" s="1">
        <v>20</v>
      </c>
      <c r="E12" s="1">
        <v>10</v>
      </c>
      <c r="F12" s="1">
        <v>22</v>
      </c>
      <c r="G12" s="9">
        <v>-4.34</v>
      </c>
      <c r="H12" s="9">
        <v>0.55000000000000004</v>
      </c>
      <c r="I12" s="9">
        <v>-3.79</v>
      </c>
      <c r="J12" s="9">
        <v>93.7</v>
      </c>
      <c r="K12" s="9">
        <v>99.3</v>
      </c>
      <c r="L12" s="9">
        <v>-5.6</v>
      </c>
      <c r="M12" s="9">
        <v>77.099999999999994</v>
      </c>
      <c r="N12" s="9">
        <v>0.23699999999999999</v>
      </c>
      <c r="O12" s="9">
        <v>0.30599999999999999</v>
      </c>
      <c r="P12" s="9">
        <v>0.501</v>
      </c>
      <c r="Q12" s="1"/>
      <c r="R12" s="9">
        <v>0.46200000000000002</v>
      </c>
      <c r="S12" s="9">
        <v>15.4</v>
      </c>
      <c r="T12" s="9">
        <v>17.399999999999999</v>
      </c>
      <c r="U12" s="9">
        <v>0.18099999999999999</v>
      </c>
      <c r="V12" s="1"/>
      <c r="W12" s="9">
        <v>0.47599999999999998</v>
      </c>
      <c r="X12" s="9">
        <v>19.2</v>
      </c>
      <c r="Y12" s="9">
        <v>71.400000000000006</v>
      </c>
      <c r="Z12" s="9">
        <v>0.26700000000000002</v>
      </c>
      <c r="AA12" s="5"/>
      <c r="AB12" s="5"/>
      <c r="AC12" s="5">
        <f t="shared" si="1"/>
        <v>7</v>
      </c>
      <c r="AD12" s="5">
        <f t="shared" si="2"/>
        <v>8</v>
      </c>
      <c r="AE12" s="5">
        <f t="shared" si="3"/>
        <v>8</v>
      </c>
      <c r="AF12" s="5">
        <f t="shared" si="0"/>
        <v>9</v>
      </c>
      <c r="AG12" s="5">
        <f t="shared" si="4"/>
        <v>9</v>
      </c>
      <c r="AH12" s="5">
        <f t="shared" si="5"/>
        <v>9</v>
      </c>
      <c r="AI12" s="5">
        <f t="shared" si="6"/>
        <v>3</v>
      </c>
      <c r="AJ12" s="5">
        <f t="shared" si="7"/>
        <v>9</v>
      </c>
      <c r="AK12" s="5">
        <f t="shared" si="8"/>
        <v>12</v>
      </c>
      <c r="AL12" s="5">
        <f t="shared" si="9"/>
        <v>4</v>
      </c>
      <c r="AM12" s="5">
        <f t="shared" si="10"/>
        <v>9</v>
      </c>
      <c r="AN12" s="5">
        <f t="shared" si="11"/>
        <v>10</v>
      </c>
      <c r="AO12" s="5">
        <f t="shared" si="12"/>
        <v>9</v>
      </c>
      <c r="AP12" s="5">
        <f t="shared" si="13"/>
        <v>6</v>
      </c>
      <c r="AQ12" s="5">
        <f t="shared" si="14"/>
        <v>10</v>
      </c>
      <c r="AR12" s="5"/>
      <c r="AS12" s="5">
        <f t="shared" ref="AS12:AS18" si="21">RANK(R12,R$4:R$18,0)</f>
        <v>10</v>
      </c>
      <c r="AT12" s="5">
        <f t="shared" si="16"/>
        <v>8</v>
      </c>
      <c r="AU12" s="5">
        <f t="shared" ref="AU12:AU18" si="22">RANK(T12,T$4:T$18,0)</f>
        <v>12</v>
      </c>
      <c r="AV12" s="5">
        <f t="shared" si="17"/>
        <v>10</v>
      </c>
      <c r="AW12" s="5"/>
      <c r="AX12" s="5">
        <f t="shared" si="18"/>
        <v>4</v>
      </c>
      <c r="AY12" s="5">
        <f t="shared" si="19"/>
        <v>1</v>
      </c>
      <c r="AZ12" s="5">
        <f t="shared" si="19"/>
        <v>12</v>
      </c>
      <c r="BA12" s="5">
        <f t="shared" si="20"/>
        <v>12</v>
      </c>
    </row>
    <row r="13" spans="1:53" x14ac:dyDescent="0.25">
      <c r="A13" s="6" t="s">
        <v>51</v>
      </c>
      <c r="B13" s="8">
        <v>27.4</v>
      </c>
      <c r="C13" s="1">
        <v>8</v>
      </c>
      <c r="D13" s="1">
        <v>24</v>
      </c>
      <c r="E13" s="1">
        <v>9</v>
      </c>
      <c r="F13" s="1">
        <v>23</v>
      </c>
      <c r="G13" s="9">
        <v>-5.63</v>
      </c>
      <c r="H13" s="9">
        <v>0.24</v>
      </c>
      <c r="I13" s="9">
        <v>-5.38</v>
      </c>
      <c r="J13" s="9">
        <v>99.3</v>
      </c>
      <c r="K13" s="9">
        <v>106.4</v>
      </c>
      <c r="L13" s="9">
        <v>-7.1</v>
      </c>
      <c r="M13" s="9">
        <v>78.599999999999994</v>
      </c>
      <c r="N13" s="9">
        <v>0.214</v>
      </c>
      <c r="O13" s="9">
        <v>0.26900000000000002</v>
      </c>
      <c r="P13" s="9">
        <v>0.48899999999999999</v>
      </c>
      <c r="Q13" s="1"/>
      <c r="R13" s="9">
        <v>0.45900000000000002</v>
      </c>
      <c r="S13" s="9">
        <v>12.1</v>
      </c>
      <c r="T13" s="9">
        <v>24.6</v>
      </c>
      <c r="U13" s="9">
        <v>0.154</v>
      </c>
      <c r="V13" s="1"/>
      <c r="W13" s="9">
        <v>0.52</v>
      </c>
      <c r="X13" s="9">
        <v>16.8</v>
      </c>
      <c r="Y13" s="9">
        <v>73.7</v>
      </c>
      <c r="Z13" s="9">
        <v>0.23400000000000001</v>
      </c>
      <c r="AA13" s="5"/>
      <c r="AB13" s="5"/>
      <c r="AC13" s="5">
        <f t="shared" si="1"/>
        <v>8</v>
      </c>
      <c r="AD13" s="5">
        <f t="shared" si="2"/>
        <v>11</v>
      </c>
      <c r="AE13" s="5">
        <f t="shared" si="3"/>
        <v>11</v>
      </c>
      <c r="AF13" s="5">
        <f t="shared" si="0"/>
        <v>10</v>
      </c>
      <c r="AG13" s="5">
        <f t="shared" si="4"/>
        <v>10</v>
      </c>
      <c r="AH13" s="5">
        <f t="shared" si="5"/>
        <v>10</v>
      </c>
      <c r="AI13" s="5">
        <f t="shared" si="6"/>
        <v>6</v>
      </c>
      <c r="AJ13" s="5">
        <f t="shared" si="7"/>
        <v>10</v>
      </c>
      <c r="AK13" s="5">
        <f t="shared" si="8"/>
        <v>9</v>
      </c>
      <c r="AL13" s="5">
        <f t="shared" si="9"/>
        <v>10</v>
      </c>
      <c r="AM13" s="5">
        <f t="shared" si="10"/>
        <v>10</v>
      </c>
      <c r="AN13" s="5">
        <f t="shared" si="11"/>
        <v>5</v>
      </c>
      <c r="AO13" s="5">
        <f t="shared" si="12"/>
        <v>12</v>
      </c>
      <c r="AP13" s="5">
        <f t="shared" si="13"/>
        <v>10</v>
      </c>
      <c r="AQ13" s="5">
        <f t="shared" si="14"/>
        <v>12</v>
      </c>
      <c r="AR13" s="5"/>
      <c r="AS13" s="5">
        <f t="shared" si="21"/>
        <v>11</v>
      </c>
      <c r="AT13" s="5">
        <f t="shared" si="16"/>
        <v>1</v>
      </c>
      <c r="AU13" s="5">
        <f t="shared" si="22"/>
        <v>4</v>
      </c>
      <c r="AV13" s="5">
        <f t="shared" si="17"/>
        <v>12</v>
      </c>
      <c r="AW13" s="5"/>
      <c r="AX13" s="5">
        <f t="shared" si="18"/>
        <v>11</v>
      </c>
      <c r="AY13" s="5">
        <f t="shared" si="19"/>
        <v>2</v>
      </c>
      <c r="AZ13" s="5">
        <f t="shared" si="19"/>
        <v>11</v>
      </c>
      <c r="BA13" s="5">
        <f t="shared" si="20"/>
        <v>11</v>
      </c>
    </row>
    <row r="14" spans="1:53" x14ac:dyDescent="0.25">
      <c r="A14" s="6" t="s">
        <v>61</v>
      </c>
      <c r="B14" s="8">
        <v>25.7</v>
      </c>
      <c r="C14" s="1">
        <v>12</v>
      </c>
      <c r="D14" s="1">
        <v>20</v>
      </c>
      <c r="E14" s="1">
        <v>7</v>
      </c>
      <c r="F14" s="1">
        <v>25</v>
      </c>
      <c r="G14" s="9">
        <v>-7.03</v>
      </c>
      <c r="H14" s="9">
        <v>0.71</v>
      </c>
      <c r="I14" s="9">
        <v>-6.32</v>
      </c>
      <c r="J14" s="9">
        <v>97</v>
      </c>
      <c r="K14" s="9">
        <v>105.7</v>
      </c>
      <c r="L14" s="9">
        <v>-8.6999999999999993</v>
      </c>
      <c r="M14" s="9">
        <v>80.599999999999994</v>
      </c>
      <c r="N14" s="9">
        <v>0.222</v>
      </c>
      <c r="O14" s="9">
        <v>0.42</v>
      </c>
      <c r="P14" s="9">
        <v>0.54100000000000004</v>
      </c>
      <c r="Q14" s="1"/>
      <c r="R14" s="9">
        <v>0.504</v>
      </c>
      <c r="S14" s="9">
        <v>18.2</v>
      </c>
      <c r="T14" s="9">
        <v>18.399999999999999</v>
      </c>
      <c r="U14" s="9">
        <v>0.18099999999999999</v>
      </c>
      <c r="V14" s="1"/>
      <c r="W14" s="9">
        <v>0.48799999999999999</v>
      </c>
      <c r="X14" s="9">
        <v>13.2</v>
      </c>
      <c r="Y14" s="9">
        <v>75.2</v>
      </c>
      <c r="Z14" s="9">
        <v>0.20300000000000001</v>
      </c>
      <c r="AA14" s="5"/>
      <c r="AB14" s="5"/>
      <c r="AC14" s="5">
        <f t="shared" si="1"/>
        <v>11</v>
      </c>
      <c r="AD14" s="5">
        <f t="shared" si="2"/>
        <v>8</v>
      </c>
      <c r="AE14" s="5">
        <f t="shared" si="3"/>
        <v>8</v>
      </c>
      <c r="AF14" s="5">
        <f t="shared" si="0"/>
        <v>11</v>
      </c>
      <c r="AG14" s="5">
        <f t="shared" si="4"/>
        <v>11</v>
      </c>
      <c r="AH14" s="5">
        <f t="shared" si="5"/>
        <v>11</v>
      </c>
      <c r="AI14" s="5">
        <f t="shared" si="6"/>
        <v>2</v>
      </c>
      <c r="AJ14" s="5">
        <f t="shared" si="7"/>
        <v>11</v>
      </c>
      <c r="AK14" s="5">
        <f t="shared" si="8"/>
        <v>11</v>
      </c>
      <c r="AL14" s="5">
        <f t="shared" si="9"/>
        <v>9</v>
      </c>
      <c r="AM14" s="5">
        <f t="shared" si="10"/>
        <v>11</v>
      </c>
      <c r="AN14" s="5">
        <f t="shared" si="11"/>
        <v>2</v>
      </c>
      <c r="AO14" s="5">
        <f t="shared" si="12"/>
        <v>11</v>
      </c>
      <c r="AP14" s="5">
        <f t="shared" si="13"/>
        <v>1</v>
      </c>
      <c r="AQ14" s="5">
        <f t="shared" si="14"/>
        <v>6</v>
      </c>
      <c r="AR14" s="5"/>
      <c r="AS14" s="5">
        <f t="shared" si="21"/>
        <v>5</v>
      </c>
      <c r="AT14" s="5">
        <f t="shared" si="16"/>
        <v>12</v>
      </c>
      <c r="AU14" s="5">
        <f t="shared" si="22"/>
        <v>11</v>
      </c>
      <c r="AV14" s="5">
        <f t="shared" si="17"/>
        <v>10</v>
      </c>
      <c r="AW14" s="5"/>
      <c r="AX14" s="5">
        <f t="shared" si="18"/>
        <v>8</v>
      </c>
      <c r="AY14" s="5">
        <f t="shared" si="19"/>
        <v>10</v>
      </c>
      <c r="AZ14" s="5">
        <f t="shared" si="19"/>
        <v>8</v>
      </c>
      <c r="BA14" s="5">
        <f t="shared" si="20"/>
        <v>6</v>
      </c>
    </row>
    <row r="15" spans="1:53" x14ac:dyDescent="0.25">
      <c r="A15" s="6" t="s">
        <v>53</v>
      </c>
      <c r="B15" s="8">
        <v>27.3</v>
      </c>
      <c r="C15" s="1">
        <v>6</v>
      </c>
      <c r="D15" s="1">
        <v>26</v>
      </c>
      <c r="E15" s="1">
        <v>5</v>
      </c>
      <c r="F15" s="1">
        <v>27</v>
      </c>
      <c r="G15" s="9">
        <v>-9.81</v>
      </c>
      <c r="H15" s="9">
        <v>0.85</v>
      </c>
      <c r="I15" s="9">
        <v>-8.9700000000000006</v>
      </c>
      <c r="J15" s="9">
        <v>97.4</v>
      </c>
      <c r="K15" s="9">
        <v>110.1</v>
      </c>
      <c r="L15" s="9">
        <v>-12.7</v>
      </c>
      <c r="M15" s="9">
        <v>77.3</v>
      </c>
      <c r="N15" s="9">
        <v>0.249</v>
      </c>
      <c r="O15" s="9">
        <v>0.253</v>
      </c>
      <c r="P15" s="9">
        <v>0.498</v>
      </c>
      <c r="Q15" s="1"/>
      <c r="R15" s="9">
        <v>0.45300000000000001</v>
      </c>
      <c r="S15" s="9">
        <v>15.4</v>
      </c>
      <c r="T15" s="9">
        <v>27.4</v>
      </c>
      <c r="U15" s="9">
        <v>0.19900000000000001</v>
      </c>
      <c r="V15" s="1"/>
      <c r="W15" s="9">
        <v>0.51700000000000002</v>
      </c>
      <c r="X15" s="9">
        <v>13.6</v>
      </c>
      <c r="Y15" s="9">
        <v>75.599999999999994</v>
      </c>
      <c r="Z15" s="9">
        <v>0.222</v>
      </c>
      <c r="AA15" s="5"/>
      <c r="AB15" s="5"/>
      <c r="AC15" s="5">
        <f t="shared" si="1"/>
        <v>9</v>
      </c>
      <c r="AD15" s="5">
        <f t="shared" si="2"/>
        <v>12</v>
      </c>
      <c r="AE15" s="5">
        <f t="shared" si="3"/>
        <v>12</v>
      </c>
      <c r="AF15" s="5">
        <f t="shared" si="0"/>
        <v>12</v>
      </c>
      <c r="AG15" s="5">
        <f t="shared" si="4"/>
        <v>12</v>
      </c>
      <c r="AH15" s="5">
        <f t="shared" si="5"/>
        <v>12</v>
      </c>
      <c r="AI15" s="5">
        <f t="shared" si="6"/>
        <v>1</v>
      </c>
      <c r="AJ15" s="5">
        <f t="shared" si="7"/>
        <v>12</v>
      </c>
      <c r="AK15" s="5">
        <f t="shared" si="8"/>
        <v>10</v>
      </c>
      <c r="AL15" s="5">
        <f t="shared" si="9"/>
        <v>12</v>
      </c>
      <c r="AM15" s="5">
        <f t="shared" si="10"/>
        <v>12</v>
      </c>
      <c r="AN15" s="5">
        <f t="shared" si="11"/>
        <v>8</v>
      </c>
      <c r="AO15" s="5">
        <f t="shared" si="12"/>
        <v>6</v>
      </c>
      <c r="AP15" s="5">
        <f t="shared" si="13"/>
        <v>11</v>
      </c>
      <c r="AQ15" s="5">
        <f t="shared" si="14"/>
        <v>11</v>
      </c>
      <c r="AR15" s="5"/>
      <c r="AS15" s="5">
        <f t="shared" si="21"/>
        <v>12</v>
      </c>
      <c r="AT15" s="5">
        <f t="shared" si="16"/>
        <v>8</v>
      </c>
      <c r="AU15" s="5">
        <f t="shared" si="22"/>
        <v>3</v>
      </c>
      <c r="AV15" s="5">
        <f t="shared" si="17"/>
        <v>8</v>
      </c>
      <c r="AW15" s="5"/>
      <c r="AX15" s="5">
        <f t="shared" si="18"/>
        <v>10</v>
      </c>
      <c r="AY15" s="5">
        <f t="shared" si="19"/>
        <v>9</v>
      </c>
      <c r="AZ15" s="5">
        <f t="shared" si="19"/>
        <v>7</v>
      </c>
      <c r="BA15" s="5">
        <f t="shared" si="20"/>
        <v>10</v>
      </c>
    </row>
    <row r="16" spans="1:53" x14ac:dyDescent="0.25">
      <c r="A16" s="6"/>
      <c r="B16" s="8"/>
      <c r="C16" s="1"/>
      <c r="D16" s="1"/>
      <c r="E16" s="1"/>
      <c r="F16" s="1"/>
      <c r="G16" s="9"/>
      <c r="H16" s="9"/>
      <c r="I16" s="9"/>
      <c r="J16" s="9"/>
      <c r="K16" s="9"/>
      <c r="L16" s="9"/>
      <c r="M16" s="9"/>
      <c r="N16" s="9"/>
      <c r="O16" s="9"/>
      <c r="P16" s="9"/>
      <c r="Q16" s="1"/>
      <c r="R16" s="9"/>
      <c r="S16" s="9"/>
      <c r="T16" s="9"/>
      <c r="U16" s="9"/>
      <c r="V16" s="1"/>
      <c r="W16" s="9"/>
      <c r="X16" s="9"/>
      <c r="Y16" s="9"/>
      <c r="Z16" s="9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</row>
    <row r="17" spans="1:53" x14ac:dyDescent="0.25">
      <c r="A17" s="6"/>
      <c r="B17" s="8"/>
      <c r="C17" s="1"/>
      <c r="D17" s="1"/>
      <c r="E17" s="1"/>
      <c r="F17" s="1"/>
      <c r="G17" s="9"/>
      <c r="H17" s="9"/>
      <c r="I17" s="9"/>
      <c r="J17" s="9"/>
      <c r="K17" s="9"/>
      <c r="L17" s="9"/>
      <c r="M17" s="9"/>
      <c r="N17" s="9"/>
      <c r="O17" s="9"/>
      <c r="P17" s="9"/>
      <c r="Q17" s="1"/>
      <c r="R17" s="9"/>
      <c r="S17" s="9"/>
      <c r="T17" s="9"/>
      <c r="U17" s="9"/>
      <c r="V17" s="1"/>
      <c r="W17" s="9"/>
      <c r="X17" s="9"/>
      <c r="Y17" s="9"/>
      <c r="Z17" s="9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</row>
    <row r="18" spans="1:53" x14ac:dyDescent="0.25">
      <c r="A18" s="6"/>
      <c r="B18" s="1"/>
      <c r="C18" s="1"/>
      <c r="D18" s="1"/>
      <c r="E18" s="1"/>
      <c r="F18" s="1"/>
      <c r="G18" s="9"/>
      <c r="H18" s="9"/>
      <c r="I18" s="9"/>
      <c r="J18" s="9"/>
      <c r="K18" s="9"/>
      <c r="L18" s="9"/>
      <c r="M18" s="9"/>
      <c r="N18" s="9"/>
      <c r="O18" s="9"/>
      <c r="P18" s="9"/>
      <c r="Q18" s="1"/>
      <c r="R18" s="9"/>
      <c r="S18" s="9"/>
      <c r="T18" s="9"/>
      <c r="U18" s="9"/>
      <c r="V18" s="1"/>
      <c r="W18" s="9"/>
      <c r="X18" s="9"/>
      <c r="Y18" s="9"/>
      <c r="Z18" s="9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</row>
    <row r="19" spans="1:53" x14ac:dyDescent="0.25">
      <c r="A19" s="4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9"/>
      <c r="S19" s="9"/>
      <c r="T19" s="9"/>
      <c r="U19" s="9"/>
      <c r="V19" s="1"/>
      <c r="W19" s="1"/>
      <c r="X19" s="1"/>
      <c r="Y19" s="1"/>
      <c r="Z19" s="1"/>
      <c r="AA19" s="5"/>
      <c r="AB19" s="5"/>
    </row>
    <row r="20" spans="1:53" x14ac:dyDescent="0.25">
      <c r="A20" s="4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5"/>
      <c r="AB20" s="5"/>
    </row>
    <row r="21" spans="1:53" x14ac:dyDescent="0.25">
      <c r="A21" s="4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5"/>
      <c r="AB21" s="5"/>
    </row>
    <row r="22" spans="1:53" ht="15.75" customHeight="1" x14ac:dyDescent="0.25">
      <c r="A22" s="4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5"/>
      <c r="AB22" s="5"/>
    </row>
    <row r="23" spans="1:53" ht="15.75" customHeight="1" x14ac:dyDescent="0.25">
      <c r="A23" s="4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5"/>
      <c r="AB23" s="5"/>
    </row>
    <row r="24" spans="1:53" ht="15.75" customHeight="1" x14ac:dyDescent="0.25">
      <c r="A24" s="6" t="s">
        <v>41</v>
      </c>
      <c r="B24" s="9">
        <f>AVERAGE(B4:B22)</f>
        <v>27.391666666666669</v>
      </c>
      <c r="C24" s="9">
        <f t="shared" ref="C24:Z24" si="23">AVERAGE(C4:C22)</f>
        <v>16</v>
      </c>
      <c r="D24" s="9">
        <f t="shared" si="23"/>
        <v>16</v>
      </c>
      <c r="E24" s="9">
        <f t="shared" si="23"/>
        <v>15.916666666666666</v>
      </c>
      <c r="F24" s="9">
        <f t="shared" si="23"/>
        <v>16.083333333333332</v>
      </c>
      <c r="G24" s="9">
        <f t="shared" si="23"/>
        <v>0</v>
      </c>
      <c r="H24" s="9">
        <f t="shared" si="23"/>
        <v>0</v>
      </c>
      <c r="I24" s="9">
        <f t="shared" si="23"/>
        <v>8.3333333333331561E-4</v>
      </c>
      <c r="J24" s="9">
        <f t="shared" si="23"/>
        <v>102.42500000000001</v>
      </c>
      <c r="K24" s="9">
        <f t="shared" si="23"/>
        <v>102.40833333333332</v>
      </c>
      <c r="L24" s="9">
        <f t="shared" si="23"/>
        <v>1.6666666666666313E-2</v>
      </c>
      <c r="M24" s="9">
        <f t="shared" si="23"/>
        <v>78.066666666666677</v>
      </c>
      <c r="N24" s="9">
        <f t="shared" si="23"/>
        <v>0.25266666666666665</v>
      </c>
      <c r="O24" s="9">
        <f t="shared" si="23"/>
        <v>0.31008333333333338</v>
      </c>
      <c r="P24" s="9">
        <f t="shared" si="23"/>
        <v>0.53091666666666681</v>
      </c>
      <c r="Q24" s="9"/>
      <c r="R24" s="9">
        <f t="shared" si="23"/>
        <v>0.48791666666666661</v>
      </c>
      <c r="S24" s="9">
        <f t="shared" si="23"/>
        <v>14.741666666666665</v>
      </c>
      <c r="T24" s="9">
        <f t="shared" si="23"/>
        <v>23.400000000000002</v>
      </c>
      <c r="U24" s="9">
        <f t="shared" si="23"/>
        <v>0.20416666666666669</v>
      </c>
      <c r="V24" s="9"/>
      <c r="W24" s="9">
        <f t="shared" si="23"/>
        <v>0.48783333333333334</v>
      </c>
      <c r="X24" s="9">
        <f t="shared" si="23"/>
        <v>14.75</v>
      </c>
      <c r="Y24" s="9">
        <f t="shared" si="23"/>
        <v>76.608333333333334</v>
      </c>
      <c r="Z24" s="9">
        <f t="shared" si="23"/>
        <v>0.20491666666666664</v>
      </c>
      <c r="AA24" s="5"/>
      <c r="AB24" s="5"/>
    </row>
    <row r="25" spans="1:53" ht="15.75" customHeight="1" x14ac:dyDescent="0.25">
      <c r="A25" s="4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5"/>
      <c r="AB25" s="5"/>
    </row>
    <row r="26" spans="1:53" ht="15.75" customHeight="1" x14ac:dyDescent="0.25">
      <c r="A26" s="4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5"/>
      <c r="AB26" s="5"/>
    </row>
    <row r="27" spans="1:53" ht="15.75" customHeight="1" x14ac:dyDescent="0.25">
      <c r="A27" s="4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5"/>
      <c r="AB27" s="5"/>
    </row>
    <row r="28" spans="1:53" ht="15.75" customHeight="1" x14ac:dyDescent="0.25">
      <c r="A28" s="4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5"/>
      <c r="AB28" s="5"/>
    </row>
    <row r="29" spans="1:53" ht="15.7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5"/>
      <c r="AB29" s="5"/>
    </row>
    <row r="30" spans="1:53" ht="15.75" customHeight="1" x14ac:dyDescent="0.25">
      <c r="A30" s="4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5"/>
      <c r="AB30" s="5"/>
    </row>
    <row r="31" spans="1:53" ht="15.75" customHeight="1" x14ac:dyDescent="0.25">
      <c r="A31" s="4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5"/>
      <c r="AB31" s="5"/>
    </row>
    <row r="32" spans="1:53" ht="15.75" customHeight="1" x14ac:dyDescent="0.25">
      <c r="A32" s="4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5"/>
      <c r="AB32" s="5"/>
    </row>
    <row r="33" spans="1:28" ht="15.75" customHeight="1" x14ac:dyDescent="0.25">
      <c r="A33" s="4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5"/>
      <c r="AB33" s="5"/>
    </row>
    <row r="34" spans="1:28" ht="15.75" customHeight="1" x14ac:dyDescent="0.25">
      <c r="A34" s="4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5"/>
      <c r="AB34" s="5"/>
    </row>
    <row r="35" spans="1:28" ht="15.75" customHeight="1" x14ac:dyDescent="0.25">
      <c r="A35" s="4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5"/>
      <c r="AB35" s="5"/>
    </row>
    <row r="36" spans="1:28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5"/>
      <c r="AB36" s="5"/>
    </row>
    <row r="37" spans="1:28" ht="15.75" customHeight="1" x14ac:dyDescent="0.25">
      <c r="A37" s="4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5"/>
      <c r="AB37" s="5"/>
    </row>
    <row r="38" spans="1:28" ht="15.75" customHeight="1" x14ac:dyDescent="0.25">
      <c r="A38" s="4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5"/>
      <c r="AB38" s="5"/>
    </row>
    <row r="39" spans="1:28" ht="15.75" customHeight="1" x14ac:dyDescent="0.25">
      <c r="A39" s="4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5"/>
      <c r="AB39" s="5"/>
    </row>
    <row r="40" spans="1:28" ht="15.75" customHeight="1" x14ac:dyDescent="0.25">
      <c r="A40" s="4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5"/>
      <c r="AB40" s="5"/>
    </row>
    <row r="41" spans="1:28" ht="15.75" customHeight="1" x14ac:dyDescent="0.25">
      <c r="A41" s="4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5"/>
      <c r="AB41" s="5"/>
    </row>
    <row r="42" spans="1:28" ht="15.75" customHeight="1" x14ac:dyDescent="0.25">
      <c r="A42" s="4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5"/>
      <c r="AB42" s="5"/>
    </row>
    <row r="43" spans="1:28" ht="15.75" customHeight="1" x14ac:dyDescent="0.25">
      <c r="A43" s="4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5"/>
      <c r="AB43" s="5"/>
    </row>
    <row r="44" spans="1:28" ht="15.75" customHeight="1" x14ac:dyDescent="0.25">
      <c r="A44" s="4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5"/>
      <c r="AB44" s="5"/>
    </row>
    <row r="45" spans="1:28" ht="15.75" customHeight="1" x14ac:dyDescent="0.25">
      <c r="A45" s="4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5"/>
      <c r="AB45" s="5"/>
    </row>
    <row r="46" spans="1:28" ht="15.75" customHeight="1" x14ac:dyDescent="0.25">
      <c r="A46" s="4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5"/>
      <c r="AB46" s="5"/>
    </row>
    <row r="47" spans="1:28" ht="15.75" customHeight="1" x14ac:dyDescent="0.25">
      <c r="A47" s="4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5"/>
      <c r="AB47" s="5"/>
    </row>
    <row r="48" spans="1:28" ht="15.75" customHeight="1" x14ac:dyDescent="0.25">
      <c r="A48" s="4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5"/>
      <c r="AB48" s="5"/>
    </row>
    <row r="49" spans="1:28" ht="15.75" customHeight="1" x14ac:dyDescent="0.25">
      <c r="A49" s="4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5"/>
      <c r="AB49" s="5"/>
    </row>
    <row r="50" spans="1:28" ht="15.75" customHeight="1" x14ac:dyDescent="0.25">
      <c r="A50" s="4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5"/>
      <c r="AB50" s="5"/>
    </row>
    <row r="51" spans="1:28" ht="15.75" customHeight="1" x14ac:dyDescent="0.25">
      <c r="A51" s="4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5"/>
      <c r="AB51" s="5"/>
    </row>
    <row r="52" spans="1:28" ht="15.75" customHeight="1" x14ac:dyDescent="0.25">
      <c r="A52" s="4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5"/>
      <c r="AB52" s="5"/>
    </row>
    <row r="53" spans="1:28" ht="15.75" customHeight="1" x14ac:dyDescent="0.25">
      <c r="A53" s="4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5"/>
      <c r="AB53" s="5"/>
    </row>
    <row r="54" spans="1:28" ht="15.75" customHeight="1" x14ac:dyDescent="0.25">
      <c r="A54" s="4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5"/>
      <c r="AB54" s="5"/>
    </row>
    <row r="55" spans="1:28" ht="15.75" customHeight="1" x14ac:dyDescent="0.25">
      <c r="A55" s="4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5"/>
      <c r="AB55" s="5"/>
    </row>
    <row r="56" spans="1:28" ht="15.75" customHeight="1" x14ac:dyDescent="0.25">
      <c r="A56" s="4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5"/>
      <c r="AB56" s="5"/>
    </row>
    <row r="57" spans="1:28" ht="15.75" customHeight="1" x14ac:dyDescent="0.25">
      <c r="A57" s="4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5"/>
      <c r="AB57" s="5"/>
    </row>
    <row r="58" spans="1:28" ht="15.75" customHeight="1" x14ac:dyDescent="0.25">
      <c r="A58" s="4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5"/>
      <c r="AB58" s="5"/>
    </row>
    <row r="59" spans="1:28" ht="15.75" customHeight="1" x14ac:dyDescent="0.25">
      <c r="A59" s="4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5"/>
      <c r="AB59" s="5"/>
    </row>
    <row r="60" spans="1:28" ht="15.75" customHeight="1" x14ac:dyDescent="0.25">
      <c r="A60" s="4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5"/>
      <c r="AB60" s="5"/>
    </row>
    <row r="61" spans="1:28" ht="15.75" customHeight="1" x14ac:dyDescent="0.25">
      <c r="A61" s="4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5"/>
      <c r="AB61" s="5"/>
    </row>
    <row r="62" spans="1:28" ht="15.75" customHeight="1" x14ac:dyDescent="0.25">
      <c r="A62" s="4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5"/>
      <c r="AB62" s="5"/>
    </row>
    <row r="63" spans="1:28" ht="15.75" customHeight="1" x14ac:dyDescent="0.25">
      <c r="A63" s="4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5"/>
      <c r="AB63" s="5"/>
    </row>
    <row r="64" spans="1:28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5"/>
      <c r="AB64" s="5"/>
    </row>
    <row r="65" spans="1:28" ht="15.75" customHeight="1" x14ac:dyDescent="0.25">
      <c r="A65" s="4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5"/>
      <c r="AB65" s="5"/>
    </row>
    <row r="66" spans="1:28" ht="15.75" customHeight="1" x14ac:dyDescent="0.25">
      <c r="A66" s="4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5"/>
      <c r="AB66" s="5"/>
    </row>
    <row r="67" spans="1:28" ht="15.75" customHeight="1" x14ac:dyDescent="0.25">
      <c r="A67" s="4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5"/>
      <c r="AB67" s="5"/>
    </row>
    <row r="68" spans="1:28" ht="15.75" customHeight="1" x14ac:dyDescent="0.25">
      <c r="A68" s="4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5"/>
      <c r="AB68" s="5"/>
    </row>
    <row r="69" spans="1:28" ht="15.75" customHeight="1" x14ac:dyDescent="0.25">
      <c r="A69" s="4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5"/>
      <c r="AB69" s="5"/>
    </row>
    <row r="70" spans="1:28" ht="15.75" customHeight="1" x14ac:dyDescent="0.25">
      <c r="A70" s="4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5"/>
      <c r="AB70" s="5"/>
    </row>
    <row r="71" spans="1:28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5"/>
      <c r="AB71" s="5"/>
    </row>
    <row r="72" spans="1:28" ht="15.75" customHeight="1" x14ac:dyDescent="0.25">
      <c r="A72" s="4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5"/>
      <c r="AB72" s="5"/>
    </row>
    <row r="73" spans="1:28" ht="15.75" customHeight="1" x14ac:dyDescent="0.25">
      <c r="A73" s="4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5"/>
      <c r="AB73" s="5"/>
    </row>
    <row r="74" spans="1:28" ht="15.75" customHeight="1" x14ac:dyDescent="0.25">
      <c r="A74" s="4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5"/>
      <c r="AB74" s="5"/>
    </row>
    <row r="75" spans="1:28" ht="15.75" customHeight="1" x14ac:dyDescent="0.25">
      <c r="A75" s="4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5"/>
      <c r="AB75" s="5"/>
    </row>
    <row r="76" spans="1:28" ht="15.75" customHeight="1" x14ac:dyDescent="0.25">
      <c r="A76" s="4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5"/>
      <c r="AB76" s="5"/>
    </row>
    <row r="77" spans="1:28" ht="15.75" customHeight="1" x14ac:dyDescent="0.25">
      <c r="A77" s="4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5"/>
      <c r="AB77" s="5"/>
    </row>
    <row r="78" spans="1:28" ht="15.75" customHeight="1" x14ac:dyDescent="0.25">
      <c r="A78" s="4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5"/>
      <c r="AB78" s="5"/>
    </row>
    <row r="79" spans="1:28" ht="15.75" customHeight="1" x14ac:dyDescent="0.25">
      <c r="A79" s="4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5"/>
      <c r="AB79" s="5"/>
    </row>
    <row r="80" spans="1:28" ht="15.75" customHeight="1" x14ac:dyDescent="0.25">
      <c r="A80" s="4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5"/>
      <c r="AB80" s="5"/>
    </row>
    <row r="81" spans="1:28" ht="15.75" customHeight="1" x14ac:dyDescent="0.25">
      <c r="A81" s="4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5"/>
      <c r="AB81" s="5"/>
    </row>
    <row r="82" spans="1:28" ht="15.75" customHeight="1" x14ac:dyDescent="0.25">
      <c r="A82" s="4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5"/>
      <c r="AB82" s="5"/>
    </row>
    <row r="83" spans="1:28" ht="15.75" customHeight="1" x14ac:dyDescent="0.25">
      <c r="A83" s="4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5"/>
      <c r="AB83" s="5"/>
    </row>
    <row r="84" spans="1:28" ht="15.75" customHeight="1" x14ac:dyDescent="0.25">
      <c r="A84" s="4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5"/>
      <c r="AB84" s="5"/>
    </row>
    <row r="85" spans="1:28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5"/>
      <c r="AB85" s="5"/>
    </row>
    <row r="86" spans="1:28" ht="15.75" customHeight="1" x14ac:dyDescent="0.25">
      <c r="A86" s="4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5"/>
      <c r="AB86" s="5"/>
    </row>
    <row r="87" spans="1:28" ht="15.75" customHeight="1" x14ac:dyDescent="0.25">
      <c r="A87" s="4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5"/>
      <c r="AB87" s="5"/>
    </row>
    <row r="88" spans="1:28" ht="15.75" customHeight="1" x14ac:dyDescent="0.25">
      <c r="A88" s="4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5"/>
      <c r="AB88" s="5"/>
    </row>
    <row r="89" spans="1:28" ht="15.75" customHeight="1" x14ac:dyDescent="0.25">
      <c r="A89" s="4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5"/>
      <c r="AB89" s="5"/>
    </row>
    <row r="90" spans="1:28" ht="15.75" customHeight="1" x14ac:dyDescent="0.25">
      <c r="A90" s="4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5"/>
      <c r="AB90" s="5"/>
    </row>
    <row r="91" spans="1:28" ht="15.75" customHeight="1" x14ac:dyDescent="0.25">
      <c r="A91" s="4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5"/>
      <c r="AB91" s="5"/>
    </row>
    <row r="92" spans="1:28" ht="15.75" customHeight="1" x14ac:dyDescent="0.25">
      <c r="A92" s="4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5"/>
      <c r="AB92" s="5"/>
    </row>
    <row r="93" spans="1:28" ht="15.75" customHeight="1" x14ac:dyDescent="0.25">
      <c r="A93" s="4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5"/>
      <c r="AB93" s="5"/>
    </row>
    <row r="94" spans="1:28" ht="15.75" customHeight="1" x14ac:dyDescent="0.25">
      <c r="A94" s="4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5"/>
      <c r="AB94" s="5"/>
    </row>
    <row r="95" spans="1:28" ht="15.75" customHeight="1" x14ac:dyDescent="0.25">
      <c r="A95" s="4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5"/>
      <c r="AB95" s="5"/>
    </row>
    <row r="96" spans="1:28" ht="15.75" customHeight="1" x14ac:dyDescent="0.25">
      <c r="A96" s="4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5"/>
      <c r="AB96" s="5"/>
    </row>
    <row r="97" spans="1:28" ht="15.75" customHeight="1" x14ac:dyDescent="0.25">
      <c r="A97" s="4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5"/>
      <c r="AB97" s="5"/>
    </row>
    <row r="98" spans="1:28" ht="15.75" customHeight="1" x14ac:dyDescent="0.25">
      <c r="A98" s="4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5"/>
      <c r="AB98" s="5"/>
    </row>
    <row r="99" spans="1:28" ht="15.75" customHeight="1" x14ac:dyDescent="0.25">
      <c r="A99" s="4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5"/>
      <c r="AB99" s="5"/>
    </row>
    <row r="100" spans="1:28" ht="15.75" customHeight="1" x14ac:dyDescent="0.25">
      <c r="A100" s="4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5"/>
      <c r="AB100" s="5"/>
    </row>
    <row r="101" spans="1:28" ht="15.75" customHeight="1" x14ac:dyDescent="0.25">
      <c r="A101" s="4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5"/>
      <c r="AB101" s="5"/>
    </row>
    <row r="102" spans="1:28" ht="15.75" customHeight="1" x14ac:dyDescent="0.25">
      <c r="A102" s="4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5"/>
      <c r="AB102" s="5"/>
    </row>
    <row r="103" spans="1:28" ht="15.75" customHeight="1" x14ac:dyDescent="0.25">
      <c r="A103" s="4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5"/>
      <c r="AB103" s="5"/>
    </row>
    <row r="104" spans="1:28" ht="15.75" customHeight="1" x14ac:dyDescent="0.25">
      <c r="A104" s="4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5"/>
      <c r="AB104" s="5"/>
    </row>
    <row r="105" spans="1:28" ht="15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5"/>
      <c r="AB105" s="5"/>
    </row>
    <row r="106" spans="1:28" ht="15.75" customHeight="1" x14ac:dyDescent="0.25">
      <c r="A106" s="4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5"/>
      <c r="AB106" s="5"/>
    </row>
    <row r="107" spans="1:28" ht="15.75" customHeight="1" x14ac:dyDescent="0.25">
      <c r="A107" s="4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5"/>
      <c r="AB107" s="5"/>
    </row>
    <row r="108" spans="1:28" ht="15.75" customHeight="1" x14ac:dyDescent="0.25">
      <c r="A108" s="4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5"/>
      <c r="AB108" s="5"/>
    </row>
    <row r="109" spans="1:28" ht="15.75" customHeight="1" x14ac:dyDescent="0.25">
      <c r="A109" s="4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5"/>
      <c r="AB109" s="5"/>
    </row>
    <row r="110" spans="1:28" ht="15.75" customHeight="1" x14ac:dyDescent="0.25">
      <c r="A110" s="4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5"/>
      <c r="AB110" s="5"/>
    </row>
    <row r="111" spans="1:28" ht="15.75" customHeight="1" x14ac:dyDescent="0.25">
      <c r="A111" s="4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5"/>
      <c r="AB111" s="5"/>
    </row>
    <row r="112" spans="1:28" ht="15.75" customHeight="1" x14ac:dyDescent="0.25">
      <c r="A112" s="4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5"/>
      <c r="AB112" s="5"/>
    </row>
    <row r="113" spans="1:28" ht="15.75" customHeight="1" x14ac:dyDescent="0.25">
      <c r="A113" s="4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5"/>
      <c r="AB113" s="5"/>
    </row>
    <row r="114" spans="1:28" ht="15.75" customHeight="1" x14ac:dyDescent="0.25">
      <c r="A114" s="4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5"/>
      <c r="AB114" s="5"/>
    </row>
    <row r="115" spans="1:28" ht="15.75" customHeight="1" x14ac:dyDescent="0.25">
      <c r="A115" s="4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5"/>
      <c r="AB115" s="5"/>
    </row>
    <row r="116" spans="1:28" ht="15.75" customHeight="1" x14ac:dyDescent="0.25">
      <c r="A116" s="4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5"/>
      <c r="AB116" s="5"/>
    </row>
    <row r="117" spans="1:28" ht="15.75" customHeight="1" x14ac:dyDescent="0.25">
      <c r="A117" s="4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5"/>
      <c r="AB117" s="5"/>
    </row>
    <row r="118" spans="1:28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5"/>
      <c r="AB118" s="5"/>
    </row>
    <row r="119" spans="1:28" ht="15.75" customHeight="1" x14ac:dyDescent="0.25">
      <c r="A119" s="4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5"/>
      <c r="AB119" s="5"/>
    </row>
    <row r="120" spans="1:28" ht="15.75" customHeight="1" x14ac:dyDescent="0.25">
      <c r="A120" s="4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5"/>
      <c r="AB120" s="5"/>
    </row>
    <row r="121" spans="1:28" ht="15.75" customHeight="1" x14ac:dyDescent="0.25">
      <c r="A121" s="4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5"/>
      <c r="AB121" s="5"/>
    </row>
    <row r="122" spans="1:28" ht="15.75" customHeight="1" x14ac:dyDescent="0.25">
      <c r="A122" s="4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5"/>
      <c r="AB122" s="5"/>
    </row>
    <row r="123" spans="1:28" ht="15.75" customHeight="1" x14ac:dyDescent="0.25">
      <c r="A123" s="4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5"/>
      <c r="AB123" s="5"/>
    </row>
    <row r="124" spans="1:28" ht="15.75" customHeight="1" x14ac:dyDescent="0.25">
      <c r="A124" s="4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5"/>
      <c r="AB124" s="5"/>
    </row>
    <row r="125" spans="1:28" ht="15.75" customHeight="1" x14ac:dyDescent="0.25">
      <c r="A125" s="4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5"/>
      <c r="AB125" s="5"/>
    </row>
    <row r="126" spans="1:28" ht="15.75" customHeight="1" x14ac:dyDescent="0.25">
      <c r="A126" s="4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5"/>
      <c r="AB126" s="5"/>
    </row>
    <row r="127" spans="1:28" ht="15.75" customHeight="1" x14ac:dyDescent="0.25">
      <c r="A127" s="4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5"/>
      <c r="AB127" s="5"/>
    </row>
    <row r="128" spans="1:28" ht="15.75" customHeight="1" x14ac:dyDescent="0.25">
      <c r="A128" s="4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5"/>
      <c r="AB128" s="5"/>
    </row>
    <row r="129" spans="1:28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5"/>
      <c r="AB129" s="5"/>
    </row>
    <row r="130" spans="1:28" ht="15.75" customHeight="1" x14ac:dyDescent="0.25">
      <c r="A130" s="4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5"/>
      <c r="AB130" s="5"/>
    </row>
    <row r="131" spans="1:28" ht="15.75" customHeight="1" x14ac:dyDescent="0.25">
      <c r="A131" s="4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5"/>
      <c r="AB131" s="5"/>
    </row>
    <row r="132" spans="1:28" ht="15.75" customHeight="1" x14ac:dyDescent="0.25">
      <c r="A132" s="4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5"/>
      <c r="AB132" s="5"/>
    </row>
    <row r="133" spans="1:28" ht="15.75" customHeight="1" x14ac:dyDescent="0.25">
      <c r="A133" s="4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5"/>
      <c r="AB133" s="5"/>
    </row>
    <row r="134" spans="1:28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5"/>
      <c r="AB134" s="5"/>
    </row>
    <row r="135" spans="1:28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5"/>
      <c r="AB135" s="5"/>
    </row>
    <row r="136" spans="1:28" ht="15.75" customHeight="1" x14ac:dyDescent="0.25">
      <c r="A136" s="4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5"/>
      <c r="AB136" s="5"/>
    </row>
    <row r="137" spans="1:28" ht="15.75" customHeight="1" x14ac:dyDescent="0.25">
      <c r="A137" s="4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5"/>
      <c r="AB137" s="5"/>
    </row>
    <row r="138" spans="1:28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5"/>
      <c r="AB138" s="5"/>
    </row>
    <row r="139" spans="1:28" ht="15.75" customHeight="1" x14ac:dyDescent="0.25">
      <c r="A139" s="4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5"/>
      <c r="AB139" s="5"/>
    </row>
    <row r="140" spans="1:28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5"/>
      <c r="AB140" s="5"/>
    </row>
    <row r="141" spans="1:28" ht="15.75" customHeight="1" x14ac:dyDescent="0.25">
      <c r="A141" s="4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5"/>
      <c r="AB141" s="5"/>
    </row>
    <row r="142" spans="1:28" ht="15.75" customHeight="1" x14ac:dyDescent="0.25">
      <c r="A142" s="4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5"/>
      <c r="AB142" s="5"/>
    </row>
    <row r="143" spans="1:28" ht="15.75" customHeight="1" x14ac:dyDescent="0.25">
      <c r="A143" s="4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5"/>
      <c r="AB143" s="5"/>
    </row>
    <row r="144" spans="1:28" ht="15.75" customHeight="1" x14ac:dyDescent="0.25">
      <c r="A144" s="4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5"/>
      <c r="AB144" s="5"/>
    </row>
    <row r="145" spans="1:28" ht="15.75" customHeight="1" x14ac:dyDescent="0.25">
      <c r="A145" s="4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5"/>
      <c r="AB145" s="5"/>
    </row>
    <row r="146" spans="1:28" ht="15.75" customHeight="1" x14ac:dyDescent="0.25">
      <c r="A146" s="4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5"/>
      <c r="AB146" s="5"/>
    </row>
    <row r="147" spans="1:28" ht="15.75" customHeight="1" x14ac:dyDescent="0.25">
      <c r="A147" s="4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5"/>
      <c r="AB147" s="5"/>
    </row>
    <row r="148" spans="1:28" ht="15.75" customHeight="1" x14ac:dyDescent="0.25">
      <c r="A148" s="4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5"/>
      <c r="AB148" s="5"/>
    </row>
    <row r="149" spans="1:28" ht="15.75" customHeight="1" x14ac:dyDescent="0.25">
      <c r="A149" s="4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5"/>
      <c r="AB149" s="5"/>
    </row>
    <row r="150" spans="1:28" ht="15.75" customHeight="1" x14ac:dyDescent="0.25">
      <c r="A150" s="4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5"/>
      <c r="AB150" s="5"/>
    </row>
    <row r="151" spans="1:28" ht="15.75" customHeight="1" x14ac:dyDescent="0.25">
      <c r="A151" s="4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5"/>
      <c r="AB151" s="5"/>
    </row>
    <row r="152" spans="1:28" ht="15.75" customHeight="1" x14ac:dyDescent="0.25">
      <c r="A152" s="4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5"/>
      <c r="AB152" s="5"/>
    </row>
    <row r="153" spans="1:28" ht="15.75" customHeight="1" x14ac:dyDescent="0.25">
      <c r="A153" s="4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5"/>
      <c r="AB153" s="5"/>
    </row>
    <row r="154" spans="1:28" ht="15.75" customHeight="1" x14ac:dyDescent="0.25">
      <c r="A154" s="4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5"/>
      <c r="AB154" s="5"/>
    </row>
    <row r="155" spans="1:28" ht="15.75" customHeight="1" x14ac:dyDescent="0.25">
      <c r="A155" s="4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5"/>
      <c r="AB155" s="5"/>
    </row>
    <row r="156" spans="1:28" ht="15.75" customHeight="1" x14ac:dyDescent="0.25">
      <c r="A156" s="4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5"/>
      <c r="AB156" s="5"/>
    </row>
    <row r="157" spans="1:28" ht="15.75" customHeight="1" x14ac:dyDescent="0.25">
      <c r="A157" s="4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5"/>
      <c r="AB157" s="5"/>
    </row>
    <row r="158" spans="1:28" ht="15.75" customHeight="1" x14ac:dyDescent="0.25">
      <c r="A158" s="4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5"/>
      <c r="AB158" s="5"/>
    </row>
    <row r="159" spans="1:28" ht="15.75" customHeight="1" x14ac:dyDescent="0.25">
      <c r="A159" s="4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5"/>
      <c r="AB159" s="5"/>
    </row>
    <row r="160" spans="1:28" ht="15.75" customHeight="1" x14ac:dyDescent="0.25">
      <c r="A160" s="4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5"/>
      <c r="AB160" s="5"/>
    </row>
    <row r="161" spans="1:28" ht="15.75" customHeight="1" x14ac:dyDescent="0.25">
      <c r="A161" s="4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5"/>
      <c r="AB161" s="5"/>
    </row>
    <row r="162" spans="1:28" ht="15.75" customHeight="1" x14ac:dyDescent="0.25">
      <c r="A162" s="4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5"/>
      <c r="AB162" s="5"/>
    </row>
    <row r="163" spans="1:28" ht="15.75" customHeight="1" x14ac:dyDescent="0.25">
      <c r="A163" s="4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5"/>
      <c r="AB163" s="5"/>
    </row>
    <row r="164" spans="1:28" ht="15.75" customHeight="1" x14ac:dyDescent="0.25">
      <c r="A164" s="4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5"/>
      <c r="AB164" s="5"/>
    </row>
    <row r="165" spans="1:28" ht="15.75" customHeight="1" x14ac:dyDescent="0.25">
      <c r="A165" s="4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5"/>
      <c r="AB165" s="5"/>
    </row>
    <row r="166" spans="1:28" ht="15.75" customHeight="1" x14ac:dyDescent="0.25">
      <c r="A166" s="4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5"/>
      <c r="AB166" s="5"/>
    </row>
    <row r="167" spans="1:28" ht="15.75" customHeight="1" x14ac:dyDescent="0.25">
      <c r="A167" s="4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5"/>
      <c r="AB167" s="5"/>
    </row>
    <row r="168" spans="1:28" ht="15.75" customHeight="1" x14ac:dyDescent="0.25">
      <c r="A168" s="4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5"/>
      <c r="AB168" s="5"/>
    </row>
    <row r="169" spans="1:28" ht="15.75" customHeight="1" x14ac:dyDescent="0.25">
      <c r="A169" s="4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5"/>
      <c r="AB169" s="5"/>
    </row>
    <row r="170" spans="1:28" ht="15.75" customHeight="1" x14ac:dyDescent="0.25">
      <c r="A170" s="4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5"/>
      <c r="AB170" s="5"/>
    </row>
    <row r="171" spans="1:28" ht="15.75" customHeight="1" x14ac:dyDescent="0.25">
      <c r="A171" s="4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5"/>
      <c r="AB171" s="5"/>
    </row>
    <row r="172" spans="1:28" ht="15.75" customHeight="1" x14ac:dyDescent="0.25">
      <c r="A172" s="4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5"/>
      <c r="AB172" s="5"/>
    </row>
    <row r="173" spans="1:28" ht="15.75" customHeight="1" x14ac:dyDescent="0.25">
      <c r="A173" s="4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5"/>
      <c r="AB173" s="5"/>
    </row>
    <row r="174" spans="1:28" ht="15.75" customHeight="1" x14ac:dyDescent="0.25">
      <c r="A174" s="4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5"/>
      <c r="AB174" s="5"/>
    </row>
    <row r="175" spans="1:28" ht="15.75" customHeight="1" x14ac:dyDescent="0.25">
      <c r="A175" s="4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5"/>
      <c r="AB175" s="5"/>
    </row>
    <row r="176" spans="1:28" ht="15.75" customHeight="1" x14ac:dyDescent="0.25">
      <c r="A176" s="4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5"/>
      <c r="AB176" s="5"/>
    </row>
    <row r="177" spans="1:28" ht="15.75" customHeight="1" x14ac:dyDescent="0.25">
      <c r="A177" s="4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5"/>
      <c r="AB177" s="5"/>
    </row>
    <row r="178" spans="1:28" ht="15.75" customHeight="1" x14ac:dyDescent="0.25">
      <c r="A178" s="4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5"/>
      <c r="AB178" s="5"/>
    </row>
    <row r="179" spans="1:28" ht="15.75" customHeight="1" x14ac:dyDescent="0.25">
      <c r="A179" s="4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5"/>
      <c r="AB179" s="5"/>
    </row>
    <row r="180" spans="1:28" ht="15.75" customHeight="1" x14ac:dyDescent="0.25">
      <c r="A180" s="4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5"/>
      <c r="AB180" s="5"/>
    </row>
    <row r="181" spans="1:28" ht="15.75" customHeight="1" x14ac:dyDescent="0.25">
      <c r="A181" s="4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5"/>
      <c r="AB181" s="5"/>
    </row>
    <row r="182" spans="1:28" ht="15.75" customHeight="1" x14ac:dyDescent="0.25">
      <c r="A182" s="4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5"/>
      <c r="AB182" s="5"/>
    </row>
    <row r="183" spans="1:28" ht="15.75" customHeight="1" x14ac:dyDescent="0.25">
      <c r="A183" s="4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5"/>
      <c r="AB183" s="5"/>
    </row>
    <row r="184" spans="1:28" ht="15.75" customHeight="1" x14ac:dyDescent="0.25">
      <c r="A184" s="4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5"/>
      <c r="AB184" s="5"/>
    </row>
    <row r="185" spans="1:28" ht="15.75" customHeight="1" x14ac:dyDescent="0.25">
      <c r="A185" s="4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5"/>
      <c r="AB185" s="5"/>
    </row>
    <row r="186" spans="1:28" ht="15.75" customHeight="1" x14ac:dyDescent="0.25">
      <c r="A186" s="4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5"/>
      <c r="AB186" s="5"/>
    </row>
    <row r="187" spans="1:28" ht="15.75" customHeight="1" x14ac:dyDescent="0.25">
      <c r="A187" s="4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5"/>
      <c r="AB187" s="5"/>
    </row>
    <row r="188" spans="1:28" ht="15.75" customHeight="1" x14ac:dyDescent="0.25">
      <c r="A188" s="4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5"/>
      <c r="AB188" s="5"/>
    </row>
    <row r="189" spans="1:28" ht="15.75" customHeight="1" x14ac:dyDescent="0.25">
      <c r="A189" s="4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5"/>
      <c r="AB189" s="5"/>
    </row>
    <row r="190" spans="1:28" ht="15.75" customHeight="1" x14ac:dyDescent="0.25">
      <c r="A190" s="4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5"/>
      <c r="AB190" s="5"/>
    </row>
    <row r="191" spans="1:28" ht="15.75" customHeight="1" x14ac:dyDescent="0.25">
      <c r="A191" s="4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5"/>
      <c r="AB191" s="5"/>
    </row>
    <row r="192" spans="1:28" ht="15.75" customHeight="1" x14ac:dyDescent="0.25">
      <c r="A192" s="4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5"/>
      <c r="AB192" s="5"/>
    </row>
    <row r="193" spans="1:28" ht="15.75" customHeight="1" x14ac:dyDescent="0.25">
      <c r="A193" s="4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5"/>
      <c r="AB193" s="5"/>
    </row>
    <row r="194" spans="1:28" ht="15.75" customHeight="1" x14ac:dyDescent="0.25">
      <c r="A194" s="4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5"/>
      <c r="AB194" s="5"/>
    </row>
    <row r="195" spans="1:28" ht="15.75" customHeight="1" x14ac:dyDescent="0.25">
      <c r="A195" s="4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5"/>
      <c r="AB195" s="5"/>
    </row>
    <row r="196" spans="1:28" ht="15.75" customHeight="1" x14ac:dyDescent="0.25">
      <c r="A196" s="4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5"/>
      <c r="AB196" s="5"/>
    </row>
    <row r="197" spans="1:28" ht="15.75" customHeight="1" x14ac:dyDescent="0.25">
      <c r="A197" s="4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5"/>
      <c r="AB197" s="5"/>
    </row>
    <row r="198" spans="1:28" ht="15.75" customHeight="1" x14ac:dyDescent="0.25">
      <c r="A198" s="4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5"/>
      <c r="AB198" s="5"/>
    </row>
    <row r="199" spans="1:28" ht="15.75" customHeight="1" x14ac:dyDescent="0.25">
      <c r="A199" s="4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5"/>
      <c r="AB199" s="5"/>
    </row>
    <row r="200" spans="1:28" ht="15.75" customHeight="1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5"/>
      <c r="AB200" s="5"/>
    </row>
    <row r="201" spans="1:28" ht="15.75" customHeight="1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5"/>
      <c r="AB201" s="5"/>
    </row>
    <row r="202" spans="1:28" ht="15.75" customHeight="1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5"/>
      <c r="AB202" s="5"/>
    </row>
    <row r="203" spans="1:28" ht="15.75" customHeight="1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5"/>
      <c r="AB203" s="5"/>
    </row>
    <row r="204" spans="1:28" ht="15.75" customHeight="1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5"/>
      <c r="AB204" s="5"/>
    </row>
    <row r="205" spans="1:28" ht="15.75" customHeight="1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5"/>
      <c r="AB205" s="5"/>
    </row>
    <row r="206" spans="1:28" ht="15.75" customHeight="1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5"/>
      <c r="AB206" s="5"/>
    </row>
    <row r="207" spans="1:28" ht="15.75" customHeight="1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5"/>
      <c r="AB207" s="5"/>
    </row>
    <row r="208" spans="1:28" ht="15.75" customHeight="1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5"/>
      <c r="AB208" s="5"/>
    </row>
    <row r="209" spans="1:28" ht="15.75" customHeight="1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5"/>
      <c r="AB209" s="5"/>
    </row>
    <row r="210" spans="1:28" ht="15.75" customHeight="1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5"/>
      <c r="AB210" s="5"/>
    </row>
    <row r="211" spans="1:28" ht="15.75" customHeight="1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5"/>
      <c r="AB211" s="5"/>
    </row>
    <row r="212" spans="1:28" ht="15.75" customHeight="1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5"/>
      <c r="AB212" s="5"/>
    </row>
    <row r="213" spans="1:28" ht="15.75" customHeight="1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5"/>
      <c r="AB213" s="5"/>
    </row>
    <row r="214" spans="1:28" ht="15.75" customHeight="1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5"/>
      <c r="AB214" s="5"/>
    </row>
    <row r="215" spans="1:28" ht="15.75" customHeight="1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5"/>
      <c r="AB215" s="5"/>
    </row>
    <row r="216" spans="1:28" ht="15.75" customHeight="1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5"/>
      <c r="AB216" s="5"/>
    </row>
    <row r="217" spans="1:28" ht="15.75" customHeight="1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5"/>
      <c r="AB217" s="5"/>
    </row>
    <row r="218" spans="1:28" ht="15.75" customHeight="1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5"/>
      <c r="AB218" s="5"/>
    </row>
    <row r="219" spans="1:28" ht="15.75" customHeight="1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5"/>
      <c r="AB219" s="5"/>
    </row>
    <row r="220" spans="1:28" ht="15.75" customHeight="1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5"/>
      <c r="AB220" s="5"/>
    </row>
    <row r="221" spans="1:28" ht="15.75" customHeight="1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5"/>
      <c r="AB221" s="5"/>
    </row>
    <row r="222" spans="1:28" ht="15.75" customHeight="1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5"/>
      <c r="AB222" s="5"/>
    </row>
    <row r="223" spans="1:28" ht="15.75" customHeight="1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5"/>
      <c r="AB223" s="5"/>
    </row>
    <row r="224" spans="1:28" ht="15.75" customHeight="1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5"/>
      <c r="AB224" s="5"/>
    </row>
    <row r="225" spans="1:28" ht="15.75" customHeight="1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5"/>
      <c r="AB225" s="5"/>
    </row>
    <row r="226" spans="1:28" ht="15.75" customHeight="1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5"/>
      <c r="AB226" s="5"/>
    </row>
    <row r="227" spans="1:28" ht="15.75" customHeight="1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5"/>
      <c r="AB227" s="5"/>
    </row>
    <row r="228" spans="1:28" ht="15.75" customHeight="1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5"/>
      <c r="AB228" s="5"/>
    </row>
    <row r="229" spans="1:28" ht="15.75" customHeight="1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5"/>
      <c r="AB229" s="5"/>
    </row>
    <row r="230" spans="1:28" ht="15.75" customHeight="1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5"/>
      <c r="AB230" s="5"/>
    </row>
    <row r="231" spans="1:28" ht="15.75" customHeight="1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5"/>
      <c r="AB231" s="5"/>
    </row>
    <row r="232" spans="1:28" ht="15.75" customHeight="1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5"/>
      <c r="AB232" s="5"/>
    </row>
    <row r="233" spans="1:28" ht="15.75" customHeight="1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5"/>
      <c r="AB233" s="5"/>
    </row>
    <row r="234" spans="1:28" ht="15.75" customHeight="1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5"/>
      <c r="AB234" s="5"/>
    </row>
    <row r="235" spans="1:28" ht="15.75" customHeight="1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5"/>
      <c r="AB235" s="5"/>
    </row>
    <row r="236" spans="1:28" ht="15.75" customHeight="1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5"/>
      <c r="AB236" s="5"/>
    </row>
    <row r="237" spans="1:28" ht="15.75" customHeight="1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5"/>
      <c r="AB237" s="5"/>
    </row>
    <row r="238" spans="1:28" ht="15.75" customHeight="1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5"/>
      <c r="AB238" s="5"/>
    </row>
    <row r="239" spans="1:28" ht="15.75" customHeight="1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5"/>
      <c r="AB239" s="5"/>
    </row>
    <row r="240" spans="1:28" ht="15.75" customHeight="1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5"/>
      <c r="AB240" s="5"/>
    </row>
    <row r="241" spans="1:28" ht="15.75" customHeight="1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5"/>
      <c r="AB241" s="5"/>
    </row>
    <row r="242" spans="1:28" ht="15.75" customHeight="1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5"/>
      <c r="AB242" s="5"/>
    </row>
    <row r="243" spans="1:28" ht="15.75" customHeight="1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5"/>
      <c r="AB243" s="5"/>
    </row>
    <row r="244" spans="1:28" ht="15.75" customHeight="1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5"/>
      <c r="AB244" s="5"/>
    </row>
    <row r="245" spans="1:28" ht="15.75" customHeight="1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5"/>
      <c r="AB245" s="5"/>
    </row>
    <row r="246" spans="1:28" ht="15.75" customHeight="1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5"/>
      <c r="AB246" s="5"/>
    </row>
    <row r="247" spans="1:28" ht="15.75" customHeight="1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5"/>
      <c r="AB247" s="5"/>
    </row>
    <row r="248" spans="1:28" ht="15.75" customHeight="1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5"/>
      <c r="AB248" s="5"/>
    </row>
    <row r="249" spans="1:28" ht="15.75" customHeight="1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5"/>
      <c r="AB249" s="5"/>
    </row>
    <row r="250" spans="1:28" ht="15.75" customHeight="1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5"/>
      <c r="AB250" s="5"/>
    </row>
    <row r="251" spans="1:28" ht="15.75" customHeight="1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5"/>
      <c r="AB251" s="5"/>
    </row>
    <row r="252" spans="1:28" ht="15.75" customHeight="1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5"/>
      <c r="AB252" s="5"/>
    </row>
    <row r="253" spans="1:28" ht="15.75" customHeight="1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5"/>
      <c r="AB253" s="5"/>
    </row>
    <row r="254" spans="1:28" ht="15.75" customHeight="1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5"/>
      <c r="AB254" s="5"/>
    </row>
    <row r="255" spans="1:28" ht="15.75" customHeight="1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5"/>
      <c r="AB255" s="5"/>
    </row>
    <row r="256" spans="1:28" ht="15.75" customHeight="1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5"/>
      <c r="AB256" s="5"/>
    </row>
    <row r="257" spans="1:28" ht="15.75" customHeight="1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5"/>
      <c r="AB257" s="5"/>
    </row>
    <row r="258" spans="1:28" ht="15.75" customHeight="1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5"/>
      <c r="AB258" s="5"/>
    </row>
    <row r="259" spans="1:28" ht="15.75" customHeight="1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5"/>
      <c r="AB259" s="5"/>
    </row>
    <row r="260" spans="1:28" ht="15.75" customHeight="1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5"/>
      <c r="AB260" s="5"/>
    </row>
    <row r="261" spans="1:28" ht="15.75" customHeight="1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5"/>
      <c r="AB261" s="5"/>
    </row>
    <row r="262" spans="1:28" ht="15.75" customHeight="1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5"/>
      <c r="AB262" s="5"/>
    </row>
    <row r="263" spans="1:28" ht="15.75" customHeight="1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5"/>
      <c r="AB263" s="5"/>
    </row>
    <row r="264" spans="1:28" ht="15.75" customHeight="1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5"/>
      <c r="AB264" s="5"/>
    </row>
    <row r="265" spans="1:28" ht="15.75" customHeight="1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5"/>
      <c r="AB265" s="5"/>
    </row>
    <row r="266" spans="1:28" ht="15.75" customHeight="1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5"/>
      <c r="AB266" s="5"/>
    </row>
    <row r="267" spans="1:28" ht="15.75" customHeight="1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5"/>
      <c r="AB267" s="5"/>
    </row>
    <row r="268" spans="1:28" ht="15.75" customHeight="1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5"/>
      <c r="AB268" s="5"/>
    </row>
    <row r="269" spans="1:28" ht="15.75" customHeight="1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5"/>
      <c r="AB269" s="5"/>
    </row>
    <row r="270" spans="1:28" ht="15.75" customHeight="1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5"/>
      <c r="AB270" s="5"/>
    </row>
    <row r="271" spans="1:28" ht="15.75" customHeight="1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5"/>
      <c r="AB271" s="5"/>
    </row>
    <row r="272" spans="1:28" ht="15.75" customHeight="1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5"/>
      <c r="AB272" s="5"/>
    </row>
    <row r="273" spans="1:28" ht="15.75" customHeight="1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5"/>
      <c r="AB273" s="5"/>
    </row>
    <row r="274" spans="1:28" ht="15.75" customHeight="1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5"/>
      <c r="AB274" s="5"/>
    </row>
    <row r="275" spans="1:28" ht="15.75" customHeight="1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5"/>
      <c r="AB275" s="5"/>
    </row>
    <row r="276" spans="1:28" ht="15.75" customHeight="1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5"/>
      <c r="AB276" s="5"/>
    </row>
    <row r="277" spans="1:28" ht="15.75" customHeight="1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5"/>
      <c r="AB277" s="5"/>
    </row>
    <row r="278" spans="1:28" ht="15.75" customHeight="1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5"/>
      <c r="AB278" s="5"/>
    </row>
    <row r="279" spans="1:28" ht="15.75" customHeight="1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5"/>
      <c r="AB279" s="5"/>
    </row>
    <row r="280" spans="1:28" ht="15.75" customHeight="1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5"/>
      <c r="AB280" s="5"/>
    </row>
    <row r="281" spans="1:28" ht="15.75" customHeight="1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5"/>
      <c r="AB281" s="5"/>
    </row>
    <row r="282" spans="1:28" ht="15.75" customHeight="1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5"/>
      <c r="AB282" s="5"/>
    </row>
    <row r="283" spans="1:28" ht="15.75" customHeight="1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5"/>
      <c r="AB283" s="5"/>
    </row>
    <row r="284" spans="1:28" ht="15.75" customHeight="1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5"/>
      <c r="AB284" s="5"/>
    </row>
    <row r="285" spans="1:28" ht="15.75" customHeight="1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5"/>
      <c r="AB285" s="5"/>
    </row>
    <row r="286" spans="1:28" ht="15.75" customHeight="1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5"/>
      <c r="AB286" s="5"/>
    </row>
    <row r="287" spans="1:28" ht="15.75" customHeight="1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5"/>
      <c r="AB287" s="5"/>
    </row>
    <row r="288" spans="1:28" ht="15.75" customHeight="1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5"/>
      <c r="AB288" s="5"/>
    </row>
    <row r="289" spans="1:28" ht="15.75" customHeight="1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5"/>
      <c r="AB289" s="5"/>
    </row>
    <row r="290" spans="1:28" ht="15.75" customHeight="1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5"/>
      <c r="AB290" s="5"/>
    </row>
    <row r="291" spans="1:28" ht="15.75" customHeight="1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5"/>
      <c r="AB291" s="5"/>
    </row>
    <row r="292" spans="1:28" ht="15.75" customHeight="1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5"/>
      <c r="AB292" s="5"/>
    </row>
    <row r="293" spans="1:28" ht="15.75" customHeight="1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5"/>
      <c r="AB293" s="5"/>
    </row>
    <row r="294" spans="1:28" ht="15.75" customHeight="1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5"/>
      <c r="AB294" s="5"/>
    </row>
    <row r="295" spans="1:28" ht="15.75" customHeight="1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5"/>
      <c r="AB295" s="5"/>
    </row>
    <row r="296" spans="1:28" ht="15.75" customHeight="1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5"/>
      <c r="AB296" s="5"/>
    </row>
    <row r="297" spans="1:28" ht="15.75" customHeight="1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5"/>
      <c r="AB297" s="5"/>
    </row>
    <row r="298" spans="1:28" ht="15.75" customHeight="1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5"/>
      <c r="AB298" s="5"/>
    </row>
    <row r="299" spans="1:28" ht="15.75" customHeight="1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5"/>
      <c r="AB299" s="5"/>
    </row>
    <row r="300" spans="1:28" ht="15.75" customHeight="1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8" ht="15.75" customHeight="1" x14ac:dyDescent="0.25">
      <c r="A301" s="4"/>
      <c r="B301" s="4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8" ht="15.75" customHeight="1" x14ac:dyDescent="0.25">
      <c r="A302" s="4"/>
      <c r="B302" s="4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8" ht="15.75" customHeight="1" x14ac:dyDescent="0.25">
      <c r="A303" s="4"/>
      <c r="B303" s="4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8" ht="15.75" customHeight="1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 x14ac:dyDescent="0.2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 x14ac:dyDescent="0.2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 x14ac:dyDescent="0.2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 x14ac:dyDescent="0.2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 x14ac:dyDescent="0.2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 x14ac:dyDescent="0.2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 x14ac:dyDescent="0.2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 x14ac:dyDescent="0.2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 x14ac:dyDescent="0.2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 x14ac:dyDescent="0.2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 x14ac:dyDescent="0.2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 x14ac:dyDescent="0.2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 x14ac:dyDescent="0.2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 x14ac:dyDescent="0.2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 x14ac:dyDescent="0.2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 x14ac:dyDescent="0.2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 x14ac:dyDescent="0.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 x14ac:dyDescent="0.2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 x14ac:dyDescent="0.2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 x14ac:dyDescent="0.2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 x14ac:dyDescent="0.2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 x14ac:dyDescent="0.2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 x14ac:dyDescent="0.2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 x14ac:dyDescent="0.2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 x14ac:dyDescent="0.2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 x14ac:dyDescent="0.2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 x14ac:dyDescent="0.2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 x14ac:dyDescent="0.2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 x14ac:dyDescent="0.2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 x14ac:dyDescent="0.2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 x14ac:dyDescent="0.2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 x14ac:dyDescent="0.2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 x14ac:dyDescent="0.2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 x14ac:dyDescent="0.2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 x14ac:dyDescent="0.2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 x14ac:dyDescent="0.2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 x14ac:dyDescent="0.2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 x14ac:dyDescent="0.2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 x14ac:dyDescent="0.2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 x14ac:dyDescent="0.2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 x14ac:dyDescent="0.2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 x14ac:dyDescent="0.2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 x14ac:dyDescent="0.2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 x14ac:dyDescent="0.2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 x14ac:dyDescent="0.2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 x14ac:dyDescent="0.2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 x14ac:dyDescent="0.2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 x14ac:dyDescent="0.2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 x14ac:dyDescent="0.2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 x14ac:dyDescent="0.2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 x14ac:dyDescent="0.2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 x14ac:dyDescent="0.2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 x14ac:dyDescent="0.2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 x14ac:dyDescent="0.2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 x14ac:dyDescent="0.2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 x14ac:dyDescent="0.2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 x14ac:dyDescent="0.2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 x14ac:dyDescent="0.2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 x14ac:dyDescent="0.2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 x14ac:dyDescent="0.2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 x14ac:dyDescent="0.2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 x14ac:dyDescent="0.2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 x14ac:dyDescent="0.2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 x14ac:dyDescent="0.2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 x14ac:dyDescent="0.2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 x14ac:dyDescent="0.2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 x14ac:dyDescent="0.2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 x14ac:dyDescent="0.2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 x14ac:dyDescent="0.2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 x14ac:dyDescent="0.2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 x14ac:dyDescent="0.2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 x14ac:dyDescent="0.2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 x14ac:dyDescent="0.2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 x14ac:dyDescent="0.2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 x14ac:dyDescent="0.2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 x14ac:dyDescent="0.2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 x14ac:dyDescent="0.2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 x14ac:dyDescent="0.2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 x14ac:dyDescent="0.2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 x14ac:dyDescent="0.2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 x14ac:dyDescent="0.2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 x14ac:dyDescent="0.2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 x14ac:dyDescent="0.2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 x14ac:dyDescent="0.2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 x14ac:dyDescent="0.2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 x14ac:dyDescent="0.2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 x14ac:dyDescent="0.2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 x14ac:dyDescent="0.2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 x14ac:dyDescent="0.2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 x14ac:dyDescent="0.2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 x14ac:dyDescent="0.2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 x14ac:dyDescent="0.2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 x14ac:dyDescent="0.2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 x14ac:dyDescent="0.2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 x14ac:dyDescent="0.2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 x14ac:dyDescent="0.2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 x14ac:dyDescent="0.2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 x14ac:dyDescent="0.2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 x14ac:dyDescent="0.2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 x14ac:dyDescent="0.2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 x14ac:dyDescent="0.2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 x14ac:dyDescent="0.2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 x14ac:dyDescent="0.2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 x14ac:dyDescent="0.2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 x14ac:dyDescent="0.2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 x14ac:dyDescent="0.2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 x14ac:dyDescent="0.2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 x14ac:dyDescent="0.2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 x14ac:dyDescent="0.2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 x14ac:dyDescent="0.2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 x14ac:dyDescent="0.2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 x14ac:dyDescent="0.2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 x14ac:dyDescent="0.2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 x14ac:dyDescent="0.2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 x14ac:dyDescent="0.2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 x14ac:dyDescent="0.2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 x14ac:dyDescent="0.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 x14ac:dyDescent="0.2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 x14ac:dyDescent="0.2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 x14ac:dyDescent="0.2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 x14ac:dyDescent="0.2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 x14ac:dyDescent="0.2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 x14ac:dyDescent="0.2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 x14ac:dyDescent="0.2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 x14ac:dyDescent="0.2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 x14ac:dyDescent="0.2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 x14ac:dyDescent="0.2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 x14ac:dyDescent="0.2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 x14ac:dyDescent="0.2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 x14ac:dyDescent="0.2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 x14ac:dyDescent="0.2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 x14ac:dyDescent="0.2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 x14ac:dyDescent="0.2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 x14ac:dyDescent="0.2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 x14ac:dyDescent="0.2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 x14ac:dyDescent="0.2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 x14ac:dyDescent="0.2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 x14ac:dyDescent="0.2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 x14ac:dyDescent="0.2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 x14ac:dyDescent="0.2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 x14ac:dyDescent="0.2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 x14ac:dyDescent="0.2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 x14ac:dyDescent="0.2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 x14ac:dyDescent="0.2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 x14ac:dyDescent="0.2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 x14ac:dyDescent="0.2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 x14ac:dyDescent="0.2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 x14ac:dyDescent="0.2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 x14ac:dyDescent="0.2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 x14ac:dyDescent="0.2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 x14ac:dyDescent="0.2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 x14ac:dyDescent="0.2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 x14ac:dyDescent="0.2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 x14ac:dyDescent="0.2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 x14ac:dyDescent="0.2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 x14ac:dyDescent="0.2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 x14ac:dyDescent="0.2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 x14ac:dyDescent="0.2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 x14ac:dyDescent="0.2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 x14ac:dyDescent="0.2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 x14ac:dyDescent="0.2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 x14ac:dyDescent="0.2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 x14ac:dyDescent="0.2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 x14ac:dyDescent="0.2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 x14ac:dyDescent="0.2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 x14ac:dyDescent="0.2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 x14ac:dyDescent="0.2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 x14ac:dyDescent="0.2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 x14ac:dyDescent="0.2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 x14ac:dyDescent="0.2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 x14ac:dyDescent="0.2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 x14ac:dyDescent="0.2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 x14ac:dyDescent="0.2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 x14ac:dyDescent="0.2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 x14ac:dyDescent="0.2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 x14ac:dyDescent="0.2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 x14ac:dyDescent="0.2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 x14ac:dyDescent="0.2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 x14ac:dyDescent="0.2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 x14ac:dyDescent="0.2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 x14ac:dyDescent="0.2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 x14ac:dyDescent="0.2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 x14ac:dyDescent="0.2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 x14ac:dyDescent="0.2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 x14ac:dyDescent="0.2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 x14ac:dyDescent="0.2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 x14ac:dyDescent="0.2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 x14ac:dyDescent="0.2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 x14ac:dyDescent="0.2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 x14ac:dyDescent="0.2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 x14ac:dyDescent="0.2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 x14ac:dyDescent="0.2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 x14ac:dyDescent="0.2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 x14ac:dyDescent="0.2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 x14ac:dyDescent="0.2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 x14ac:dyDescent="0.2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 x14ac:dyDescent="0.2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 x14ac:dyDescent="0.2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 x14ac:dyDescent="0.2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 x14ac:dyDescent="0.2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 x14ac:dyDescent="0.2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 x14ac:dyDescent="0.2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 x14ac:dyDescent="0.2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 x14ac:dyDescent="0.2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 x14ac:dyDescent="0.2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 x14ac:dyDescent="0.2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 x14ac:dyDescent="0.2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 x14ac:dyDescent="0.2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 x14ac:dyDescent="0.2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 x14ac:dyDescent="0.2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 x14ac:dyDescent="0.2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 x14ac:dyDescent="0.2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 x14ac:dyDescent="0.2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 x14ac:dyDescent="0.2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 x14ac:dyDescent="0.2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 x14ac:dyDescent="0.2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 x14ac:dyDescent="0.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 x14ac:dyDescent="0.2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 x14ac:dyDescent="0.2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 x14ac:dyDescent="0.2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 x14ac:dyDescent="0.2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 x14ac:dyDescent="0.2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 x14ac:dyDescent="0.2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 x14ac:dyDescent="0.2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 x14ac:dyDescent="0.2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 x14ac:dyDescent="0.2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 x14ac:dyDescent="0.2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 x14ac:dyDescent="0.2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 x14ac:dyDescent="0.2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 x14ac:dyDescent="0.2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 x14ac:dyDescent="0.2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 x14ac:dyDescent="0.2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 x14ac:dyDescent="0.2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 x14ac:dyDescent="0.2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 x14ac:dyDescent="0.2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 x14ac:dyDescent="0.2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 x14ac:dyDescent="0.2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 x14ac:dyDescent="0.2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 x14ac:dyDescent="0.2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 x14ac:dyDescent="0.2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 x14ac:dyDescent="0.2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 x14ac:dyDescent="0.2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 x14ac:dyDescent="0.2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 x14ac:dyDescent="0.2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 x14ac:dyDescent="0.2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 x14ac:dyDescent="0.2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 x14ac:dyDescent="0.2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 x14ac:dyDescent="0.2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 x14ac:dyDescent="0.2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 x14ac:dyDescent="0.2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 x14ac:dyDescent="0.2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 x14ac:dyDescent="0.2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 x14ac:dyDescent="0.2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 x14ac:dyDescent="0.2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 x14ac:dyDescent="0.2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 x14ac:dyDescent="0.2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 x14ac:dyDescent="0.2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 x14ac:dyDescent="0.2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 x14ac:dyDescent="0.2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 x14ac:dyDescent="0.2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 x14ac:dyDescent="0.2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 x14ac:dyDescent="0.2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 x14ac:dyDescent="0.2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 x14ac:dyDescent="0.2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 x14ac:dyDescent="0.2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 x14ac:dyDescent="0.2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 x14ac:dyDescent="0.2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 x14ac:dyDescent="0.2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 x14ac:dyDescent="0.2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 x14ac:dyDescent="0.2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 x14ac:dyDescent="0.2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 x14ac:dyDescent="0.2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 x14ac:dyDescent="0.2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 x14ac:dyDescent="0.2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 x14ac:dyDescent="0.2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 x14ac:dyDescent="0.2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 x14ac:dyDescent="0.2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 x14ac:dyDescent="0.2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 x14ac:dyDescent="0.2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 x14ac:dyDescent="0.2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 x14ac:dyDescent="0.2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 x14ac:dyDescent="0.2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 x14ac:dyDescent="0.2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 x14ac:dyDescent="0.2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 x14ac:dyDescent="0.2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 x14ac:dyDescent="0.2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 x14ac:dyDescent="0.2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 x14ac:dyDescent="0.2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 x14ac:dyDescent="0.2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 x14ac:dyDescent="0.2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 x14ac:dyDescent="0.2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 x14ac:dyDescent="0.2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 x14ac:dyDescent="0.2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 x14ac:dyDescent="0.2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 x14ac:dyDescent="0.2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 x14ac:dyDescent="0.2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 x14ac:dyDescent="0.2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 x14ac:dyDescent="0.2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 x14ac:dyDescent="0.2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 x14ac:dyDescent="0.2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 x14ac:dyDescent="0.2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 x14ac:dyDescent="0.2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 x14ac:dyDescent="0.2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 x14ac:dyDescent="0.2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 x14ac:dyDescent="0.2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 x14ac:dyDescent="0.2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 x14ac:dyDescent="0.2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 x14ac:dyDescent="0.2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 x14ac:dyDescent="0.2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 x14ac:dyDescent="0.2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 x14ac:dyDescent="0.2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 x14ac:dyDescent="0.2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 x14ac:dyDescent="0.2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 x14ac:dyDescent="0.2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 x14ac:dyDescent="0.2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 x14ac:dyDescent="0.2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 x14ac:dyDescent="0.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 x14ac:dyDescent="0.2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 x14ac:dyDescent="0.2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 x14ac:dyDescent="0.2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 x14ac:dyDescent="0.2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 x14ac:dyDescent="0.2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 x14ac:dyDescent="0.2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 x14ac:dyDescent="0.2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 x14ac:dyDescent="0.2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 x14ac:dyDescent="0.2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 x14ac:dyDescent="0.2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 x14ac:dyDescent="0.2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 x14ac:dyDescent="0.2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 x14ac:dyDescent="0.2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 x14ac:dyDescent="0.2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 x14ac:dyDescent="0.2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 x14ac:dyDescent="0.2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 x14ac:dyDescent="0.2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 x14ac:dyDescent="0.2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 x14ac:dyDescent="0.2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 x14ac:dyDescent="0.2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 x14ac:dyDescent="0.2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 x14ac:dyDescent="0.2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 x14ac:dyDescent="0.2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 x14ac:dyDescent="0.2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 x14ac:dyDescent="0.2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 x14ac:dyDescent="0.2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 x14ac:dyDescent="0.2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 x14ac:dyDescent="0.2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 x14ac:dyDescent="0.2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 x14ac:dyDescent="0.2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 x14ac:dyDescent="0.2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 x14ac:dyDescent="0.2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 x14ac:dyDescent="0.2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 x14ac:dyDescent="0.2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 x14ac:dyDescent="0.2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 x14ac:dyDescent="0.2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 x14ac:dyDescent="0.2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 x14ac:dyDescent="0.2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 x14ac:dyDescent="0.2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 x14ac:dyDescent="0.2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 x14ac:dyDescent="0.2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 x14ac:dyDescent="0.2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 x14ac:dyDescent="0.2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 x14ac:dyDescent="0.2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 x14ac:dyDescent="0.2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 x14ac:dyDescent="0.2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 x14ac:dyDescent="0.2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 x14ac:dyDescent="0.2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 x14ac:dyDescent="0.2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 x14ac:dyDescent="0.2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 x14ac:dyDescent="0.2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 x14ac:dyDescent="0.2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 x14ac:dyDescent="0.2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 x14ac:dyDescent="0.2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 x14ac:dyDescent="0.2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 x14ac:dyDescent="0.2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 x14ac:dyDescent="0.2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 x14ac:dyDescent="0.2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 x14ac:dyDescent="0.2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 x14ac:dyDescent="0.2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 x14ac:dyDescent="0.2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 x14ac:dyDescent="0.2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 x14ac:dyDescent="0.2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 x14ac:dyDescent="0.2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 x14ac:dyDescent="0.2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 x14ac:dyDescent="0.2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 x14ac:dyDescent="0.2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 x14ac:dyDescent="0.2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 x14ac:dyDescent="0.2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 x14ac:dyDescent="0.2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 x14ac:dyDescent="0.2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 x14ac:dyDescent="0.2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 x14ac:dyDescent="0.2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 x14ac:dyDescent="0.2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 x14ac:dyDescent="0.2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 x14ac:dyDescent="0.2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 x14ac:dyDescent="0.2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 x14ac:dyDescent="0.2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 x14ac:dyDescent="0.2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 x14ac:dyDescent="0.2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 x14ac:dyDescent="0.2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 x14ac:dyDescent="0.2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 x14ac:dyDescent="0.2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 x14ac:dyDescent="0.2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 x14ac:dyDescent="0.2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 x14ac:dyDescent="0.2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 x14ac:dyDescent="0.2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 x14ac:dyDescent="0.2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 x14ac:dyDescent="0.2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 x14ac:dyDescent="0.2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 x14ac:dyDescent="0.2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 x14ac:dyDescent="0.2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 x14ac:dyDescent="0.2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 x14ac:dyDescent="0.2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 x14ac:dyDescent="0.2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 x14ac:dyDescent="0.2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 x14ac:dyDescent="0.2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 x14ac:dyDescent="0.2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 x14ac:dyDescent="0.2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 x14ac:dyDescent="0.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 x14ac:dyDescent="0.2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 x14ac:dyDescent="0.2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 x14ac:dyDescent="0.2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 x14ac:dyDescent="0.2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 x14ac:dyDescent="0.2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 x14ac:dyDescent="0.2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 x14ac:dyDescent="0.2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 x14ac:dyDescent="0.2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 x14ac:dyDescent="0.2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 x14ac:dyDescent="0.2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 x14ac:dyDescent="0.2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 x14ac:dyDescent="0.2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 x14ac:dyDescent="0.2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 x14ac:dyDescent="0.2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 x14ac:dyDescent="0.2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 x14ac:dyDescent="0.2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 x14ac:dyDescent="0.2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 x14ac:dyDescent="0.2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 x14ac:dyDescent="0.2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 x14ac:dyDescent="0.2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 x14ac:dyDescent="0.2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 x14ac:dyDescent="0.2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 x14ac:dyDescent="0.2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 x14ac:dyDescent="0.2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 x14ac:dyDescent="0.2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 x14ac:dyDescent="0.2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 x14ac:dyDescent="0.2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 x14ac:dyDescent="0.2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 x14ac:dyDescent="0.2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 x14ac:dyDescent="0.2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 x14ac:dyDescent="0.2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 x14ac:dyDescent="0.2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 x14ac:dyDescent="0.2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 x14ac:dyDescent="0.2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 x14ac:dyDescent="0.2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 x14ac:dyDescent="0.2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 x14ac:dyDescent="0.2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 x14ac:dyDescent="0.2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 x14ac:dyDescent="0.2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 x14ac:dyDescent="0.2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 x14ac:dyDescent="0.2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 x14ac:dyDescent="0.2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 x14ac:dyDescent="0.2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 x14ac:dyDescent="0.2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 x14ac:dyDescent="0.2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 x14ac:dyDescent="0.2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 x14ac:dyDescent="0.2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 x14ac:dyDescent="0.2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 x14ac:dyDescent="0.2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 x14ac:dyDescent="0.2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 x14ac:dyDescent="0.2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 x14ac:dyDescent="0.2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 x14ac:dyDescent="0.2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 x14ac:dyDescent="0.2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 x14ac:dyDescent="0.2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 x14ac:dyDescent="0.2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 x14ac:dyDescent="0.2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 x14ac:dyDescent="0.2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 x14ac:dyDescent="0.2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 x14ac:dyDescent="0.2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 x14ac:dyDescent="0.2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 x14ac:dyDescent="0.2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 x14ac:dyDescent="0.2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 x14ac:dyDescent="0.2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 x14ac:dyDescent="0.2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 x14ac:dyDescent="0.2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 x14ac:dyDescent="0.2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 x14ac:dyDescent="0.2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 x14ac:dyDescent="0.2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 x14ac:dyDescent="0.2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 x14ac:dyDescent="0.2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 x14ac:dyDescent="0.2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 x14ac:dyDescent="0.2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 x14ac:dyDescent="0.2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 x14ac:dyDescent="0.2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 x14ac:dyDescent="0.2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 x14ac:dyDescent="0.2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 x14ac:dyDescent="0.2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 x14ac:dyDescent="0.2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 x14ac:dyDescent="0.2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 x14ac:dyDescent="0.2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 x14ac:dyDescent="0.2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 x14ac:dyDescent="0.2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 x14ac:dyDescent="0.2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 x14ac:dyDescent="0.2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 x14ac:dyDescent="0.2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 x14ac:dyDescent="0.2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 x14ac:dyDescent="0.2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 x14ac:dyDescent="0.2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 x14ac:dyDescent="0.2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 x14ac:dyDescent="0.2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 x14ac:dyDescent="0.2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 x14ac:dyDescent="0.2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 x14ac:dyDescent="0.2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 x14ac:dyDescent="0.2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 x14ac:dyDescent="0.2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 x14ac:dyDescent="0.2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 x14ac:dyDescent="0.2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 x14ac:dyDescent="0.2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 x14ac:dyDescent="0.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 x14ac:dyDescent="0.2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 x14ac:dyDescent="0.2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 x14ac:dyDescent="0.2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 x14ac:dyDescent="0.2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 x14ac:dyDescent="0.2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 x14ac:dyDescent="0.2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 x14ac:dyDescent="0.2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 x14ac:dyDescent="0.2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 x14ac:dyDescent="0.2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 x14ac:dyDescent="0.2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 x14ac:dyDescent="0.2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 x14ac:dyDescent="0.2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 x14ac:dyDescent="0.2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 x14ac:dyDescent="0.2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 x14ac:dyDescent="0.2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 x14ac:dyDescent="0.2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 x14ac:dyDescent="0.2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 x14ac:dyDescent="0.2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 x14ac:dyDescent="0.2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 x14ac:dyDescent="0.2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 x14ac:dyDescent="0.2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 x14ac:dyDescent="0.2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 x14ac:dyDescent="0.2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 x14ac:dyDescent="0.2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 x14ac:dyDescent="0.2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 x14ac:dyDescent="0.2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 x14ac:dyDescent="0.2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 x14ac:dyDescent="0.2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 x14ac:dyDescent="0.2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 x14ac:dyDescent="0.2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 x14ac:dyDescent="0.2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 x14ac:dyDescent="0.2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 x14ac:dyDescent="0.2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 x14ac:dyDescent="0.2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 x14ac:dyDescent="0.2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 x14ac:dyDescent="0.2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 x14ac:dyDescent="0.2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 x14ac:dyDescent="0.2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 x14ac:dyDescent="0.2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 x14ac:dyDescent="0.2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 x14ac:dyDescent="0.2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 x14ac:dyDescent="0.2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 x14ac:dyDescent="0.2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 x14ac:dyDescent="0.2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 x14ac:dyDescent="0.2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 x14ac:dyDescent="0.2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 x14ac:dyDescent="0.2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 x14ac:dyDescent="0.2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 x14ac:dyDescent="0.2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 x14ac:dyDescent="0.2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 x14ac:dyDescent="0.2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 x14ac:dyDescent="0.2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 x14ac:dyDescent="0.2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 x14ac:dyDescent="0.2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 x14ac:dyDescent="0.2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 x14ac:dyDescent="0.2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 x14ac:dyDescent="0.2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 x14ac:dyDescent="0.2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 x14ac:dyDescent="0.2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 x14ac:dyDescent="0.2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 x14ac:dyDescent="0.2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 x14ac:dyDescent="0.2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 x14ac:dyDescent="0.2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 x14ac:dyDescent="0.2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 x14ac:dyDescent="0.2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 x14ac:dyDescent="0.2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 x14ac:dyDescent="0.2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 x14ac:dyDescent="0.2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 x14ac:dyDescent="0.2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 x14ac:dyDescent="0.2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 x14ac:dyDescent="0.2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 x14ac:dyDescent="0.2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 x14ac:dyDescent="0.2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 x14ac:dyDescent="0.2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 x14ac:dyDescent="0.2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 x14ac:dyDescent="0.2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 x14ac:dyDescent="0.2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 x14ac:dyDescent="0.2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 x14ac:dyDescent="0.2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 x14ac:dyDescent="0.2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 x14ac:dyDescent="0.2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 x14ac:dyDescent="0.2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 x14ac:dyDescent="0.2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 x14ac:dyDescent="0.2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 x14ac:dyDescent="0.2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 x14ac:dyDescent="0.2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 x14ac:dyDescent="0.2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 x14ac:dyDescent="0.2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 x14ac:dyDescent="0.2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 x14ac:dyDescent="0.2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 x14ac:dyDescent="0.2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 x14ac:dyDescent="0.2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 x14ac:dyDescent="0.2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 x14ac:dyDescent="0.2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 x14ac:dyDescent="0.2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 x14ac:dyDescent="0.2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 x14ac:dyDescent="0.2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 x14ac:dyDescent="0.2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 x14ac:dyDescent="0.2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 x14ac:dyDescent="0.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 x14ac:dyDescent="0.2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 x14ac:dyDescent="0.2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 x14ac:dyDescent="0.2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 x14ac:dyDescent="0.2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 x14ac:dyDescent="0.2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 x14ac:dyDescent="0.2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 x14ac:dyDescent="0.2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 x14ac:dyDescent="0.2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 x14ac:dyDescent="0.2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 x14ac:dyDescent="0.2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customHeight="1" x14ac:dyDescent="0.2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customHeight="1" x14ac:dyDescent="0.2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 x14ac:dyDescent="0.2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 x14ac:dyDescent="0.2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 x14ac:dyDescent="0.2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customHeight="1" x14ac:dyDescent="0.2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customHeight="1" x14ac:dyDescent="0.2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 x14ac:dyDescent="0.2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 x14ac:dyDescent="0.2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customHeight="1" x14ac:dyDescent="0.2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customHeight="1" x14ac:dyDescent="0.2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 x14ac:dyDescent="0.2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customHeight="1" x14ac:dyDescent="0.2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 x14ac:dyDescent="0.2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 x14ac:dyDescent="0.2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customHeight="1" x14ac:dyDescent="0.2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 x14ac:dyDescent="0.2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 x14ac:dyDescent="0.2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customHeight="1" x14ac:dyDescent="0.2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customHeight="1" x14ac:dyDescent="0.2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customHeight="1" x14ac:dyDescent="0.2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customHeight="1" x14ac:dyDescent="0.2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 x14ac:dyDescent="0.2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customHeight="1" x14ac:dyDescent="0.2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customHeight="1" x14ac:dyDescent="0.2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 x14ac:dyDescent="0.2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customHeight="1" x14ac:dyDescent="0.2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customHeight="1" x14ac:dyDescent="0.2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customHeight="1" x14ac:dyDescent="0.2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customHeight="1" x14ac:dyDescent="0.2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customHeight="1" x14ac:dyDescent="0.2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customHeight="1" x14ac:dyDescent="0.2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customHeight="1" x14ac:dyDescent="0.2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customHeight="1" x14ac:dyDescent="0.2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customHeight="1" x14ac:dyDescent="0.2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customHeight="1" x14ac:dyDescent="0.2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customHeight="1" x14ac:dyDescent="0.2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customHeight="1" x14ac:dyDescent="0.2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customHeight="1" x14ac:dyDescent="0.2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customHeight="1" x14ac:dyDescent="0.2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customHeight="1" x14ac:dyDescent="0.2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customHeight="1" x14ac:dyDescent="0.2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customHeight="1" x14ac:dyDescent="0.2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customHeight="1" x14ac:dyDescent="0.2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customHeight="1" x14ac:dyDescent="0.2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customHeight="1" x14ac:dyDescent="0.2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customHeight="1" x14ac:dyDescent="0.2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customHeight="1" x14ac:dyDescent="0.2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customHeight="1" x14ac:dyDescent="0.2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customHeight="1" x14ac:dyDescent="0.2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customHeight="1" x14ac:dyDescent="0.2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customHeight="1" x14ac:dyDescent="0.2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customHeight="1" x14ac:dyDescent="0.2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customHeight="1" x14ac:dyDescent="0.2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customHeight="1" x14ac:dyDescent="0.2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customHeight="1" x14ac:dyDescent="0.2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customHeight="1" x14ac:dyDescent="0.2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customHeight="1" x14ac:dyDescent="0.2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customHeight="1" x14ac:dyDescent="0.2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customHeight="1" x14ac:dyDescent="0.2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customHeight="1" x14ac:dyDescent="0.2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customHeight="1" x14ac:dyDescent="0.2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customHeight="1" x14ac:dyDescent="0.2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75" customHeight="1" x14ac:dyDescent="0.2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75" customHeight="1" x14ac:dyDescent="0.2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5.75" customHeight="1" x14ac:dyDescent="0.25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5.75" customHeight="1" x14ac:dyDescent="0.25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spans="1:26" ht="15.75" customHeight="1" x14ac:dyDescent="0.25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spans="1:26" ht="15.75" customHeight="1" x14ac:dyDescent="0.25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spans="1:26" ht="15.75" customHeight="1" x14ac:dyDescent="0.2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spans="1:26" ht="15.75" customHeight="1" x14ac:dyDescent="0.25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 spans="1:26" ht="15.75" customHeight="1" x14ac:dyDescent="0.25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 spans="1:26" ht="15.75" customHeight="1" x14ac:dyDescent="0.25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 spans="1:26" ht="15.75" customHeight="1" x14ac:dyDescent="0.25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 spans="1:26" ht="15.75" customHeight="1" x14ac:dyDescent="0.25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  <row r="1011" spans="1:26" ht="15.75" customHeight="1" x14ac:dyDescent="0.25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</row>
    <row r="1012" spans="1:26" ht="15.75" customHeight="1" x14ac:dyDescent="0.25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</row>
    <row r="1013" spans="1:26" ht="15.75" customHeight="1" x14ac:dyDescent="0.25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</row>
    <row r="1014" spans="1:26" ht="15.75" customHeight="1" x14ac:dyDescent="0.25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</row>
    <row r="1015" spans="1:26" ht="15.75" customHeight="1" x14ac:dyDescent="0.2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</row>
    <row r="1016" spans="1:26" ht="15.75" customHeight="1" x14ac:dyDescent="0.25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</row>
    <row r="1017" spans="1:26" ht="15.75" customHeight="1" x14ac:dyDescent="0.25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</row>
    <row r="1018" spans="1:26" ht="15.75" customHeight="1" x14ac:dyDescent="0.25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</row>
    <row r="1019" spans="1:26" ht="15.75" customHeight="1" x14ac:dyDescent="0.25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</row>
    <row r="1020" spans="1:26" ht="15.75" customHeight="1" x14ac:dyDescent="0.25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</row>
    <row r="1021" spans="1:26" ht="15.75" customHeight="1" x14ac:dyDescent="0.25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</row>
    <row r="1022" spans="1:26" ht="15.75" customHeight="1" x14ac:dyDescent="0.25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</row>
    <row r="1023" spans="1:26" ht="15.75" customHeight="1" x14ac:dyDescent="0.25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</row>
    <row r="1024" spans="1:26" ht="15.75" customHeight="1" x14ac:dyDescent="0.25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</row>
    <row r="1025" spans="1:26" ht="15.75" customHeight="1" x14ac:dyDescent="0.25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</row>
    <row r="1026" spans="1:26" ht="15.75" customHeight="1" x14ac:dyDescent="0.25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</row>
    <row r="1027" spans="1:26" ht="15.75" customHeight="1" x14ac:dyDescent="0.25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</row>
    <row r="1028" spans="1:26" ht="15.75" customHeight="1" x14ac:dyDescent="0.25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</row>
    <row r="1029" spans="1:26" ht="15.75" customHeight="1" x14ac:dyDescent="0.25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</row>
    <row r="1030" spans="1:26" ht="15.75" customHeight="1" x14ac:dyDescent="0.25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</row>
    <row r="1031" spans="1:26" ht="15.75" customHeight="1" x14ac:dyDescent="0.25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</row>
    <row r="1032" spans="1:26" ht="15.75" customHeight="1" x14ac:dyDescent="0.25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</row>
    <row r="1033" spans="1:26" ht="15.75" customHeight="1" x14ac:dyDescent="0.25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</row>
    <row r="1034" spans="1:26" ht="15.75" customHeight="1" x14ac:dyDescent="0.25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</row>
    <row r="1035" spans="1:26" ht="15.75" customHeight="1" x14ac:dyDescent="0.25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</row>
    <row r="1036" spans="1:26" ht="15.75" customHeight="1" x14ac:dyDescent="0.25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</row>
    <row r="1037" spans="1:26" ht="15.75" customHeight="1" x14ac:dyDescent="0.25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</row>
    <row r="1038" spans="1:26" ht="15.75" customHeight="1" x14ac:dyDescent="0.25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</row>
    <row r="1039" spans="1:26" ht="15.75" customHeight="1" x14ac:dyDescent="0.25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</row>
    <row r="1040" spans="1:26" ht="15.75" customHeight="1" x14ac:dyDescent="0.25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</row>
    <row r="1041" spans="1:26" ht="15.75" customHeight="1" x14ac:dyDescent="0.25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</row>
    <row r="1042" spans="1:26" ht="15.75" customHeight="1" x14ac:dyDescent="0.25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</row>
    <row r="1043" spans="1:26" ht="15.75" customHeight="1" x14ac:dyDescent="0.25">
      <c r="A1043" s="4"/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</row>
    <row r="1044" spans="1:26" ht="15.75" customHeight="1" x14ac:dyDescent="0.25">
      <c r="A1044" s="4"/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</row>
    <row r="1045" spans="1:26" ht="15.75" customHeight="1" x14ac:dyDescent="0.25">
      <c r="A1045" s="4"/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</row>
    <row r="1046" spans="1:26" ht="15.75" customHeight="1" x14ac:dyDescent="0.25">
      <c r="A1046" s="4"/>
      <c r="B1046" s="4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</row>
    <row r="1047" spans="1:26" ht="15.75" customHeight="1" x14ac:dyDescent="0.25">
      <c r="A1047" s="4"/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</row>
    <row r="1048" spans="1:26" ht="15.75" customHeight="1" x14ac:dyDescent="0.25">
      <c r="A1048" s="4"/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</row>
    <row r="1049" spans="1:26" ht="15.75" customHeight="1" x14ac:dyDescent="0.25">
      <c r="A1049" s="4"/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</row>
    <row r="1050" spans="1:26" ht="15.75" customHeight="1" x14ac:dyDescent="0.25">
      <c r="A1050" s="4"/>
      <c r="B1050" s="4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</row>
    <row r="1051" spans="1:26" ht="15.75" customHeight="1" x14ac:dyDescent="0.25">
      <c r="A1051" s="4"/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</row>
    <row r="1052" spans="1:26" ht="15.75" customHeight="1" x14ac:dyDescent="0.25">
      <c r="A1052" s="4"/>
      <c r="B1052" s="4"/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</row>
    <row r="1053" spans="1:26" ht="15.75" customHeight="1" x14ac:dyDescent="0.25">
      <c r="A1053" s="4"/>
      <c r="B1053" s="4"/>
      <c r="C1053" s="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</row>
    <row r="1054" spans="1:26" ht="15.75" customHeight="1" x14ac:dyDescent="0.25">
      <c r="A1054" s="4"/>
      <c r="B1054" s="4"/>
      <c r="C1054" s="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</row>
    <row r="1055" spans="1:26" ht="15.75" customHeight="1" x14ac:dyDescent="0.25">
      <c r="A1055" s="4"/>
      <c r="B1055" s="4"/>
      <c r="C1055" s="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</row>
    <row r="1056" spans="1:26" ht="15.75" customHeight="1" x14ac:dyDescent="0.25">
      <c r="A1056" s="4"/>
      <c r="B1056" s="4"/>
      <c r="C1056" s="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</row>
    <row r="1057" spans="1:26" ht="15.75" customHeight="1" x14ac:dyDescent="0.25">
      <c r="A1057" s="4"/>
      <c r="B1057" s="4"/>
      <c r="C1057" s="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</row>
    <row r="1058" spans="1:26" ht="15.75" customHeight="1" x14ac:dyDescent="0.25">
      <c r="A1058" s="4"/>
      <c r="B1058" s="4"/>
      <c r="C1058" s="4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</row>
    <row r="1059" spans="1:26" ht="15.75" customHeight="1" x14ac:dyDescent="0.25">
      <c r="A1059" s="4"/>
      <c r="B1059" s="4"/>
      <c r="C1059" s="4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</row>
    <row r="1060" spans="1:26" ht="15.75" customHeight="1" x14ac:dyDescent="0.25">
      <c r="A1060" s="4"/>
      <c r="B1060" s="4"/>
      <c r="C1060" s="4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</row>
    <row r="1061" spans="1:26" ht="15.75" customHeight="1" x14ac:dyDescent="0.25">
      <c r="A1061" s="4"/>
      <c r="B1061" s="4"/>
      <c r="C1061" s="4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</row>
    <row r="1062" spans="1:26" ht="15.75" customHeight="1" x14ac:dyDescent="0.25">
      <c r="A1062" s="4"/>
      <c r="B1062" s="4"/>
      <c r="C1062" s="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</row>
    <row r="1063" spans="1:26" ht="15.75" customHeight="1" x14ac:dyDescent="0.25">
      <c r="A1063" s="4"/>
      <c r="B1063" s="4"/>
      <c r="C1063" s="4"/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</row>
    <row r="1064" spans="1:26" ht="15.75" customHeight="1" x14ac:dyDescent="0.25">
      <c r="A1064" s="4"/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</row>
    <row r="1065" spans="1:26" ht="15.75" customHeight="1" x14ac:dyDescent="0.25">
      <c r="A1065" s="4"/>
      <c r="B1065" s="4"/>
      <c r="C1065" s="4"/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</row>
    <row r="1066" spans="1:26" ht="15.75" customHeight="1" x14ac:dyDescent="0.25">
      <c r="A1066" s="4"/>
      <c r="B1066" s="4"/>
      <c r="C1066" s="4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</row>
    <row r="1067" spans="1:26" ht="15.75" customHeight="1" x14ac:dyDescent="0.25">
      <c r="A1067" s="4"/>
      <c r="B1067" s="4"/>
      <c r="C1067" s="4"/>
      <c r="D1067" s="4"/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</row>
    <row r="1068" spans="1:26" ht="15.75" customHeight="1" x14ac:dyDescent="0.25">
      <c r="A1068" s="4"/>
      <c r="B1068" s="4"/>
      <c r="C1068" s="4"/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</row>
    <row r="1069" spans="1:26" ht="15.75" customHeight="1" x14ac:dyDescent="0.25">
      <c r="A1069" s="4"/>
      <c r="B1069" s="4"/>
      <c r="C1069" s="4"/>
      <c r="D1069" s="4"/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</row>
    <row r="1070" spans="1:26" ht="15.75" customHeight="1" x14ac:dyDescent="0.25">
      <c r="A1070" s="4"/>
      <c r="B1070" s="4"/>
      <c r="C1070" s="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</row>
    <row r="1071" spans="1:26" ht="15.75" customHeight="1" x14ac:dyDescent="0.25">
      <c r="A1071" s="4"/>
      <c r="B1071" s="4"/>
      <c r="C1071" s="4"/>
      <c r="D1071" s="4"/>
      <c r="E1071" s="4"/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</row>
    <row r="1072" spans="1:26" ht="15.75" customHeight="1" x14ac:dyDescent="0.25">
      <c r="A1072" s="4"/>
      <c r="B1072" s="4"/>
      <c r="C1072" s="4"/>
      <c r="D1072" s="4"/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</row>
    <row r="1073" spans="1:26" ht="15.75" customHeight="1" x14ac:dyDescent="0.25">
      <c r="A1073" s="4"/>
      <c r="B1073" s="4"/>
      <c r="C1073" s="4"/>
      <c r="D1073" s="4"/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</row>
    <row r="1074" spans="1:26" ht="15.75" customHeight="1" x14ac:dyDescent="0.25">
      <c r="A1074" s="4"/>
      <c r="B1074" s="4"/>
      <c r="C1074" s="4"/>
      <c r="D1074" s="4"/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</row>
    <row r="1075" spans="1:26" ht="15.75" customHeight="1" x14ac:dyDescent="0.25">
      <c r="A1075" s="4"/>
      <c r="B1075" s="4"/>
      <c r="C1075" s="4"/>
      <c r="D1075" s="4"/>
      <c r="E1075" s="4"/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</row>
    <row r="1076" spans="1:26" ht="15.75" customHeight="1" x14ac:dyDescent="0.25">
      <c r="A1076" s="4"/>
      <c r="B1076" s="4"/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</row>
    <row r="1077" spans="1:26" ht="15.75" customHeight="1" x14ac:dyDescent="0.25">
      <c r="A1077" s="4"/>
      <c r="B1077" s="4"/>
      <c r="C1077" s="4"/>
      <c r="D1077" s="4"/>
      <c r="E1077" s="4"/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</row>
    <row r="1078" spans="1:26" ht="15.75" customHeight="1" x14ac:dyDescent="0.25">
      <c r="A1078" s="4"/>
      <c r="B1078" s="4"/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</row>
    <row r="1079" spans="1:26" ht="15.75" customHeight="1" x14ac:dyDescent="0.25">
      <c r="A1079" s="4"/>
      <c r="B1079" s="4"/>
      <c r="C1079" s="4"/>
      <c r="D1079" s="4"/>
      <c r="E1079" s="4"/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</row>
    <row r="1080" spans="1:26" ht="15.75" customHeight="1" x14ac:dyDescent="0.25">
      <c r="A1080" s="4"/>
      <c r="B1080" s="4"/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</row>
    <row r="1081" spans="1:26" ht="15.75" customHeight="1" x14ac:dyDescent="0.25">
      <c r="A1081" s="4"/>
      <c r="B1081" s="4"/>
      <c r="C1081" s="4"/>
      <c r="D1081" s="4"/>
      <c r="E1081" s="4"/>
      <c r="F1081" s="4"/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</row>
    <row r="1082" spans="1:26" ht="15.75" customHeight="1" x14ac:dyDescent="0.25">
      <c r="A1082" s="4"/>
      <c r="B1082" s="4"/>
      <c r="C1082" s="4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</row>
    <row r="1083" spans="1:26" ht="15.75" customHeight="1" x14ac:dyDescent="0.25">
      <c r="A1083" s="4"/>
      <c r="B1083" s="4"/>
      <c r="C1083" s="4"/>
      <c r="D1083" s="4"/>
      <c r="E1083" s="4"/>
      <c r="F1083" s="4"/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</row>
    <row r="1084" spans="1:26" ht="15.75" customHeight="1" x14ac:dyDescent="0.25">
      <c r="A1084" s="4"/>
      <c r="B1084" s="4"/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</row>
    <row r="1085" spans="1:26" ht="15.75" customHeight="1" x14ac:dyDescent="0.25">
      <c r="A1085" s="4"/>
      <c r="B1085" s="4"/>
      <c r="C1085" s="4"/>
      <c r="D1085" s="4"/>
      <c r="E1085" s="4"/>
      <c r="F1085" s="4"/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</row>
    <row r="1086" spans="1:26" ht="15.75" customHeight="1" x14ac:dyDescent="0.25">
      <c r="A1086" s="4"/>
      <c r="B1086" s="4"/>
      <c r="C1086" s="4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</row>
    <row r="1087" spans="1:26" ht="15.75" customHeight="1" x14ac:dyDescent="0.25">
      <c r="A1087" s="4"/>
      <c r="B1087" s="4"/>
      <c r="C1087" s="4"/>
      <c r="D1087" s="4"/>
      <c r="E1087" s="4"/>
      <c r="F1087" s="4"/>
      <c r="G1087" s="4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</row>
    <row r="1088" spans="1:26" ht="15.75" customHeight="1" x14ac:dyDescent="0.25">
      <c r="A1088" s="4"/>
      <c r="B1088" s="4"/>
      <c r="C1088" s="4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</row>
    <row r="1089" spans="1:26" ht="15.75" customHeight="1" x14ac:dyDescent="0.25">
      <c r="A1089" s="4"/>
      <c r="B1089" s="4"/>
      <c r="C1089" s="4"/>
      <c r="D1089" s="4"/>
      <c r="E1089" s="4"/>
      <c r="F1089" s="4"/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</row>
    <row r="1090" spans="1:26" ht="15.75" customHeight="1" x14ac:dyDescent="0.25">
      <c r="A1090" s="4"/>
      <c r="B1090" s="4"/>
      <c r="C1090" s="4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</row>
    <row r="1091" spans="1:26" ht="15.75" customHeight="1" x14ac:dyDescent="0.25">
      <c r="A1091" s="4"/>
      <c r="B1091" s="4"/>
      <c r="C1091" s="4"/>
      <c r="D1091" s="4"/>
      <c r="E1091" s="4"/>
      <c r="F1091" s="4"/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</row>
    <row r="1092" spans="1:26" ht="15.75" customHeight="1" x14ac:dyDescent="0.25">
      <c r="A1092" s="4"/>
      <c r="B1092" s="4"/>
      <c r="C1092" s="4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</row>
    <row r="1093" spans="1:26" ht="15.75" customHeight="1" x14ac:dyDescent="0.25">
      <c r="A1093" s="4"/>
      <c r="B1093" s="4"/>
      <c r="C1093" s="4"/>
      <c r="D1093" s="4"/>
      <c r="E1093" s="4"/>
      <c r="F1093" s="4"/>
      <c r="G1093" s="4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</row>
    <row r="1094" spans="1:26" ht="15.75" customHeight="1" x14ac:dyDescent="0.25">
      <c r="A1094" s="4"/>
      <c r="B1094" s="4"/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</row>
    <row r="1095" spans="1:26" ht="15.75" customHeight="1" x14ac:dyDescent="0.25">
      <c r="A1095" s="4"/>
      <c r="B1095" s="4"/>
      <c r="C1095" s="4"/>
      <c r="D1095" s="4"/>
      <c r="E1095" s="4"/>
      <c r="F1095" s="4"/>
      <c r="G1095" s="4"/>
      <c r="H1095" s="4"/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</row>
    <row r="1096" spans="1:26" ht="15.75" customHeight="1" x14ac:dyDescent="0.25">
      <c r="A1096" s="4"/>
      <c r="B1096" s="4"/>
      <c r="C1096" s="4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</row>
    <row r="1097" spans="1:26" ht="15.75" customHeight="1" x14ac:dyDescent="0.25">
      <c r="A1097" s="4"/>
      <c r="B1097" s="4"/>
      <c r="C1097" s="4"/>
      <c r="D1097" s="4"/>
      <c r="E1097" s="4"/>
      <c r="F1097" s="4"/>
      <c r="G1097" s="4"/>
      <c r="H1097" s="4"/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</row>
    <row r="1098" spans="1:26" ht="15.75" customHeight="1" x14ac:dyDescent="0.25">
      <c r="A1098" s="4"/>
      <c r="B1098" s="4"/>
      <c r="C1098" s="4"/>
      <c r="D1098" s="4"/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</row>
    <row r="1099" spans="1:26" ht="15.75" customHeight="1" x14ac:dyDescent="0.25">
      <c r="A1099" s="4"/>
      <c r="B1099" s="4"/>
      <c r="C1099" s="4"/>
      <c r="D1099" s="4"/>
      <c r="E1099" s="4"/>
      <c r="F1099" s="4"/>
      <c r="G1099" s="4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</row>
    <row r="1100" spans="1:26" ht="15.75" customHeight="1" x14ac:dyDescent="0.25">
      <c r="A1100" s="4"/>
      <c r="B1100" s="4"/>
      <c r="C1100" s="4"/>
      <c r="D1100" s="4"/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</row>
    <row r="1101" spans="1:26" ht="15.75" customHeight="1" x14ac:dyDescent="0.25">
      <c r="A1101" s="4"/>
      <c r="B1101" s="4"/>
      <c r="C1101" s="4"/>
      <c r="D1101" s="4"/>
      <c r="E1101" s="4"/>
      <c r="F1101" s="4"/>
      <c r="G1101" s="4"/>
      <c r="H1101" s="4"/>
      <c r="I1101" s="4"/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</row>
    <row r="1102" spans="1:26" ht="15.75" customHeight="1" x14ac:dyDescent="0.25">
      <c r="A1102" s="4"/>
      <c r="B1102" s="4"/>
      <c r="C1102" s="4"/>
      <c r="D1102" s="4"/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</row>
    <row r="1103" spans="1:26" ht="15.75" customHeight="1" x14ac:dyDescent="0.25">
      <c r="A1103" s="4"/>
      <c r="B1103" s="4"/>
      <c r="C1103" s="4"/>
      <c r="D1103" s="4"/>
      <c r="E1103" s="4"/>
      <c r="F1103" s="4"/>
      <c r="G1103" s="4"/>
      <c r="H1103" s="4"/>
      <c r="I1103" s="4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4"/>
    </row>
    <row r="1104" spans="1:26" ht="15.75" customHeight="1" x14ac:dyDescent="0.25">
      <c r="A1104" s="4"/>
      <c r="B1104" s="4"/>
      <c r="C1104" s="4"/>
      <c r="D1104" s="4"/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</row>
    <row r="1105" spans="1:26" ht="15.75" customHeight="1" x14ac:dyDescent="0.25">
      <c r="A1105" s="4"/>
      <c r="B1105" s="4"/>
      <c r="C1105" s="4"/>
      <c r="D1105" s="4"/>
      <c r="E1105" s="4"/>
      <c r="F1105" s="4"/>
      <c r="G1105" s="4"/>
      <c r="H1105" s="4"/>
      <c r="I1105" s="4"/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4"/>
      <c r="Y1105" s="4"/>
      <c r="Z1105" s="4"/>
    </row>
    <row r="1106" spans="1:26" ht="15.75" customHeight="1" x14ac:dyDescent="0.25">
      <c r="A1106" s="4"/>
      <c r="B1106" s="4"/>
      <c r="C1106" s="4"/>
      <c r="D1106" s="4"/>
      <c r="E1106" s="4"/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</row>
    <row r="1107" spans="1:26" ht="15.75" customHeight="1" x14ac:dyDescent="0.25">
      <c r="A1107" s="4"/>
      <c r="B1107" s="4"/>
      <c r="C1107" s="4"/>
      <c r="D1107" s="4"/>
      <c r="E1107" s="4"/>
      <c r="F1107" s="4"/>
      <c r="G1107" s="4"/>
      <c r="H1107" s="4"/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/>
      <c r="Y1107" s="4"/>
      <c r="Z1107" s="4"/>
    </row>
    <row r="1108" spans="1:26" ht="15.75" customHeight="1" x14ac:dyDescent="0.25">
      <c r="A1108" s="4"/>
      <c r="B1108" s="4"/>
      <c r="C1108" s="4"/>
      <c r="D1108" s="4"/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</row>
    <row r="1109" spans="1:26" ht="15.75" customHeight="1" x14ac:dyDescent="0.25">
      <c r="A1109" s="4"/>
      <c r="B1109" s="4"/>
      <c r="C1109" s="4"/>
      <c r="D1109" s="4"/>
      <c r="E1109" s="4"/>
      <c r="F1109" s="4"/>
      <c r="G1109" s="4"/>
      <c r="H1109" s="4"/>
      <c r="I1109" s="4"/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4"/>
      <c r="Y1109" s="4"/>
      <c r="Z1109" s="4"/>
    </row>
    <row r="1110" spans="1:26" ht="15.75" customHeight="1" x14ac:dyDescent="0.25">
      <c r="A1110" s="4"/>
      <c r="B1110" s="4"/>
      <c r="C1110" s="4"/>
      <c r="D1110" s="4"/>
      <c r="E1110" s="4"/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</row>
    <row r="1111" spans="1:26" ht="15.75" customHeight="1" x14ac:dyDescent="0.25">
      <c r="A1111" s="4"/>
      <c r="B1111" s="4"/>
      <c r="C1111" s="4"/>
      <c r="D1111" s="4"/>
      <c r="E1111" s="4"/>
      <c r="F1111" s="4"/>
      <c r="G1111" s="4"/>
      <c r="H1111" s="4"/>
      <c r="I1111" s="4"/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4"/>
      <c r="Y1111" s="4"/>
      <c r="Z1111" s="4"/>
    </row>
    <row r="1112" spans="1:26" ht="15.75" customHeight="1" x14ac:dyDescent="0.25">
      <c r="A1112" s="4"/>
      <c r="B1112" s="4"/>
      <c r="C1112" s="4"/>
      <c r="D1112" s="4"/>
      <c r="E1112" s="4"/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</row>
    <row r="1113" spans="1:26" ht="15.75" customHeight="1" x14ac:dyDescent="0.25">
      <c r="A1113" s="4"/>
      <c r="B1113" s="4"/>
      <c r="C1113" s="4"/>
      <c r="D1113" s="4"/>
      <c r="E1113" s="4"/>
      <c r="F1113" s="4"/>
      <c r="G1113" s="4"/>
      <c r="H1113" s="4"/>
      <c r="I1113" s="4"/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4"/>
    </row>
    <row r="1114" spans="1:26" ht="15.75" customHeight="1" x14ac:dyDescent="0.25">
      <c r="A1114" s="4"/>
      <c r="B1114" s="4"/>
      <c r="C1114" s="4"/>
      <c r="D1114" s="4"/>
      <c r="E1114" s="4"/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</row>
    <row r="1115" spans="1:26" ht="15.75" customHeight="1" x14ac:dyDescent="0.25">
      <c r="A1115" s="4"/>
      <c r="B1115" s="4"/>
      <c r="C1115" s="4"/>
      <c r="D1115" s="4"/>
      <c r="E1115" s="4"/>
      <c r="F1115" s="4"/>
      <c r="G1115" s="4"/>
      <c r="H1115" s="4"/>
      <c r="I1115" s="4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4"/>
      <c r="Y1115" s="4"/>
      <c r="Z1115" s="4"/>
    </row>
    <row r="1116" spans="1:26" ht="15.75" customHeight="1" x14ac:dyDescent="0.25">
      <c r="A1116" s="4"/>
      <c r="B1116" s="4"/>
      <c r="C1116" s="4"/>
      <c r="D1116" s="4"/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</row>
    <row r="1117" spans="1:26" ht="15.75" customHeight="1" x14ac:dyDescent="0.25">
      <c r="A1117" s="4"/>
      <c r="B1117" s="4"/>
      <c r="C1117" s="4"/>
      <c r="D1117" s="4"/>
      <c r="E1117" s="4"/>
      <c r="F1117" s="4"/>
      <c r="G1117" s="4"/>
      <c r="H1117" s="4"/>
      <c r="I1117" s="4"/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4"/>
      <c r="Y1117" s="4"/>
      <c r="Z1117" s="4"/>
    </row>
    <row r="1118" spans="1:26" ht="15.75" customHeight="1" x14ac:dyDescent="0.25">
      <c r="A1118" s="4"/>
      <c r="B1118" s="4"/>
      <c r="C1118" s="4"/>
      <c r="D1118" s="4"/>
      <c r="E1118" s="4"/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</row>
    <row r="1119" spans="1:26" ht="15.75" customHeight="1" x14ac:dyDescent="0.25">
      <c r="A1119" s="4"/>
      <c r="B1119" s="4"/>
      <c r="C1119" s="4"/>
      <c r="D1119" s="4"/>
      <c r="E1119" s="4"/>
      <c r="F1119" s="4"/>
      <c r="G1119" s="4"/>
      <c r="H1119" s="4"/>
      <c r="I1119" s="4"/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4"/>
      <c r="Y1119" s="4"/>
      <c r="Z1119" s="4"/>
    </row>
    <row r="1120" spans="1:26" ht="15.75" customHeight="1" x14ac:dyDescent="0.25">
      <c r="A1120" s="4"/>
      <c r="B1120" s="4"/>
      <c r="C1120" s="4"/>
      <c r="D1120" s="4"/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</row>
    <row r="1121" spans="1:26" ht="15.75" customHeight="1" x14ac:dyDescent="0.25">
      <c r="A1121" s="4"/>
      <c r="B1121" s="4"/>
      <c r="C1121" s="4"/>
      <c r="D1121" s="4"/>
      <c r="E1121" s="4"/>
      <c r="F1121" s="4"/>
      <c r="G1121" s="4"/>
      <c r="H1121" s="4"/>
      <c r="I1121" s="4"/>
      <c r="J1121" s="4"/>
      <c r="K1121" s="4"/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  <c r="X1121" s="4"/>
      <c r="Y1121" s="4"/>
      <c r="Z1121" s="4"/>
    </row>
    <row r="1122" spans="1:26" ht="15.75" customHeight="1" x14ac:dyDescent="0.25">
      <c r="A1122" s="4"/>
      <c r="B1122" s="4"/>
      <c r="C1122" s="4"/>
      <c r="D1122" s="4"/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</row>
    <row r="1123" spans="1:26" ht="15.75" customHeight="1" x14ac:dyDescent="0.25">
      <c r="A1123" s="4"/>
      <c r="B1123" s="4"/>
      <c r="C1123" s="4"/>
      <c r="D1123" s="4"/>
      <c r="E1123" s="4"/>
      <c r="F1123" s="4"/>
      <c r="G1123" s="4"/>
      <c r="H1123" s="4"/>
      <c r="I1123" s="4"/>
      <c r="J1123" s="4"/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4"/>
      <c r="Y1123" s="4"/>
      <c r="Z1123" s="4"/>
    </row>
    <row r="1124" spans="1:26" ht="15.75" customHeight="1" x14ac:dyDescent="0.25">
      <c r="A1124" s="4"/>
      <c r="B1124" s="4"/>
      <c r="C1124" s="4"/>
      <c r="D1124" s="4"/>
      <c r="E1124" s="4"/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</row>
    <row r="1125" spans="1:26" ht="15.75" customHeight="1" x14ac:dyDescent="0.25">
      <c r="A1125" s="4"/>
      <c r="B1125" s="4"/>
      <c r="C1125" s="4"/>
      <c r="D1125" s="4"/>
      <c r="E1125" s="4"/>
      <c r="F1125" s="4"/>
      <c r="G1125" s="4"/>
      <c r="H1125" s="4"/>
      <c r="I1125" s="4"/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  <c r="X1125" s="4"/>
      <c r="Y1125" s="4"/>
      <c r="Z1125" s="4"/>
    </row>
    <row r="1126" spans="1:26" ht="15.75" customHeight="1" x14ac:dyDescent="0.25">
      <c r="A1126" s="4"/>
      <c r="B1126" s="4"/>
      <c r="C1126" s="4"/>
      <c r="D1126" s="4"/>
      <c r="E1126" s="4"/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</row>
    <row r="1127" spans="1:26" ht="15.75" customHeight="1" x14ac:dyDescent="0.25">
      <c r="A1127" s="4"/>
      <c r="B1127" s="4"/>
      <c r="C1127" s="4"/>
      <c r="D1127" s="4"/>
      <c r="E1127" s="4"/>
      <c r="F1127" s="4"/>
      <c r="G1127" s="4"/>
      <c r="H1127" s="4"/>
      <c r="I1127" s="4"/>
      <c r="J1127" s="4"/>
      <c r="K1127" s="4"/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  <c r="X1127" s="4"/>
      <c r="Y1127" s="4"/>
      <c r="Z1127" s="4"/>
    </row>
    <row r="1128" spans="1:26" ht="15.75" customHeight="1" x14ac:dyDescent="0.25">
      <c r="A1128" s="4"/>
      <c r="B1128" s="4"/>
      <c r="C1128" s="4"/>
      <c r="D1128" s="4"/>
      <c r="E1128" s="4"/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</row>
    <row r="1129" spans="1:26" ht="15.75" customHeight="1" x14ac:dyDescent="0.25">
      <c r="A1129" s="4"/>
      <c r="B1129" s="4"/>
      <c r="C1129" s="4"/>
      <c r="D1129" s="4"/>
      <c r="E1129" s="4"/>
      <c r="F1129" s="4"/>
      <c r="G1129" s="4"/>
      <c r="H1129" s="4"/>
      <c r="I1129" s="4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  <c r="X1129" s="4"/>
      <c r="Y1129" s="4"/>
      <c r="Z1129" s="4"/>
    </row>
    <row r="1130" spans="1:26" ht="15.75" customHeight="1" x14ac:dyDescent="0.25">
      <c r="A1130" s="4"/>
      <c r="B1130" s="4"/>
      <c r="C1130" s="4"/>
      <c r="D1130" s="4"/>
      <c r="E1130" s="4"/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</row>
    <row r="1131" spans="1:26" ht="15.75" customHeight="1" x14ac:dyDescent="0.25">
      <c r="A1131" s="4"/>
      <c r="B1131" s="4"/>
      <c r="C1131" s="4"/>
      <c r="D1131" s="4"/>
      <c r="E1131" s="4"/>
      <c r="F1131" s="4"/>
      <c r="G1131" s="4"/>
      <c r="H1131" s="4"/>
      <c r="I1131" s="4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4"/>
    </row>
    <row r="1132" spans="1:26" ht="15.75" customHeight="1" x14ac:dyDescent="0.25">
      <c r="A1132" s="4"/>
      <c r="B1132" s="4"/>
      <c r="C1132" s="4"/>
      <c r="D1132" s="4"/>
      <c r="E1132" s="4"/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</row>
    <row r="1133" spans="1:26" ht="15.75" customHeight="1" x14ac:dyDescent="0.25">
      <c r="A1133" s="4"/>
      <c r="B1133" s="4"/>
      <c r="C1133" s="4"/>
      <c r="D1133" s="4"/>
      <c r="E1133" s="4"/>
      <c r="F1133" s="4"/>
      <c r="G1133" s="4"/>
      <c r="H1133" s="4"/>
      <c r="I1133" s="4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  <c r="X1133" s="4"/>
      <c r="Y1133" s="4"/>
      <c r="Z1133" s="4"/>
    </row>
    <row r="1134" spans="1:26" ht="15.75" customHeight="1" x14ac:dyDescent="0.25">
      <c r="A1134" s="4"/>
      <c r="B1134" s="4"/>
      <c r="C1134" s="4"/>
      <c r="D1134" s="4"/>
      <c r="E1134" s="4"/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</row>
    <row r="1135" spans="1:26" ht="15.75" customHeight="1" x14ac:dyDescent="0.25">
      <c r="A1135" s="4"/>
      <c r="B1135" s="4"/>
      <c r="C1135" s="4"/>
      <c r="D1135" s="4"/>
      <c r="E1135" s="4"/>
      <c r="F1135" s="4"/>
      <c r="G1135" s="4"/>
      <c r="H1135" s="4"/>
      <c r="I1135" s="4"/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  <c r="X1135" s="4"/>
      <c r="Y1135" s="4"/>
      <c r="Z1135" s="4"/>
    </row>
    <row r="1136" spans="1:26" ht="15.75" customHeight="1" x14ac:dyDescent="0.25">
      <c r="A1136" s="4"/>
      <c r="B1136" s="4"/>
      <c r="C1136" s="4"/>
      <c r="D1136" s="4"/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</row>
    <row r="1137" spans="1:26" ht="15.75" customHeight="1" x14ac:dyDescent="0.25">
      <c r="A1137" s="4"/>
      <c r="B1137" s="4"/>
      <c r="C1137" s="4"/>
      <c r="D1137" s="4"/>
      <c r="E1137" s="4"/>
      <c r="F1137" s="4"/>
      <c r="G1137" s="4"/>
      <c r="H1137" s="4"/>
      <c r="I1137" s="4"/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  <c r="X1137" s="4"/>
      <c r="Y1137" s="4"/>
      <c r="Z1137" s="4"/>
    </row>
    <row r="1138" spans="1:26" ht="15.75" customHeight="1" x14ac:dyDescent="0.25">
      <c r="A1138" s="4"/>
      <c r="B1138" s="4"/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</row>
    <row r="1139" spans="1:26" ht="15.75" customHeight="1" x14ac:dyDescent="0.25">
      <c r="A1139" s="4"/>
      <c r="B1139" s="4"/>
      <c r="C1139" s="4"/>
      <c r="D1139" s="4"/>
      <c r="E1139" s="4"/>
      <c r="F1139" s="4"/>
      <c r="G1139" s="4"/>
      <c r="H1139" s="4"/>
      <c r="I1139" s="4"/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4"/>
      <c r="Y1139" s="4"/>
      <c r="Z1139" s="4"/>
    </row>
  </sheetData>
  <mergeCells count="8">
    <mergeCell ref="AC1:BA1"/>
    <mergeCell ref="A1:Z1"/>
    <mergeCell ref="R2:U2"/>
    <mergeCell ref="W2:Z2"/>
    <mergeCell ref="B2:P2"/>
    <mergeCell ref="AC2:AQ2"/>
    <mergeCell ref="AS2:AV2"/>
    <mergeCell ref="AX2:BA2"/>
  </mergeCells>
  <pageMargins left="0.7" right="0.7" top="0.75" bottom="0.75" header="0" footer="0"/>
  <pageSetup orientation="landscape" r:id="rId1"/>
  <ignoredErrors>
    <ignoredError sqref="AE4:AE15 AF4:AF15 AG4:AG15 AL4:AL15 AT4:AT15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F05FD-CD9C-4286-96FB-DD9B1839DD94}">
  <dimension ref="A1:AV1139"/>
  <sheetViews>
    <sheetView workbookViewId="0">
      <pane xSplit="1" topLeftCell="B1" activePane="topRight" state="frozen"/>
      <selection pane="topRight" sqref="A1:Y1"/>
    </sheetView>
  </sheetViews>
  <sheetFormatPr baseColWidth="10" defaultColWidth="12.5703125" defaultRowHeight="15" customHeight="1" x14ac:dyDescent="0.25"/>
  <cols>
    <col min="1" max="1" width="25.7109375" customWidth="1"/>
    <col min="2" max="48" width="7.7109375" customWidth="1"/>
  </cols>
  <sheetData>
    <row r="1" spans="1:48" ht="24.95" customHeight="1" x14ac:dyDescent="0.4">
      <c r="A1" s="18" t="s">
        <v>24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</row>
    <row r="2" spans="1:48" ht="26.25" x14ac:dyDescent="0.4">
      <c r="A2" s="11"/>
      <c r="B2" s="14"/>
      <c r="C2" s="14"/>
      <c r="D2" s="14"/>
      <c r="E2" s="14"/>
      <c r="F2" s="14"/>
      <c r="G2" s="17" t="s">
        <v>37</v>
      </c>
      <c r="H2" s="17"/>
      <c r="I2" s="17"/>
      <c r="J2" s="17"/>
      <c r="K2" s="17"/>
      <c r="L2" s="17"/>
      <c r="M2" s="14"/>
      <c r="N2" s="17" t="s">
        <v>38</v>
      </c>
      <c r="O2" s="17"/>
      <c r="P2" s="17"/>
      <c r="Q2" s="17"/>
      <c r="R2" s="17"/>
      <c r="S2" s="17"/>
      <c r="T2" s="14"/>
      <c r="U2" s="17" t="s">
        <v>39</v>
      </c>
      <c r="V2" s="17"/>
      <c r="W2" s="14"/>
      <c r="X2" s="17" t="s">
        <v>40</v>
      </c>
      <c r="Y2" s="17"/>
      <c r="AB2" s="16"/>
      <c r="AC2" s="16"/>
      <c r="AD2" s="17" t="s">
        <v>37</v>
      </c>
      <c r="AE2" s="17"/>
      <c r="AF2" s="17"/>
      <c r="AG2" s="17"/>
      <c r="AH2" s="17"/>
      <c r="AI2" s="17"/>
      <c r="AJ2" s="12"/>
      <c r="AK2" s="17" t="s">
        <v>38</v>
      </c>
      <c r="AL2" s="17"/>
      <c r="AM2" s="17"/>
      <c r="AN2" s="17"/>
      <c r="AO2" s="17"/>
      <c r="AP2" s="17"/>
      <c r="AQ2" s="12"/>
      <c r="AR2" s="17" t="s">
        <v>39</v>
      </c>
      <c r="AS2" s="17"/>
      <c r="AT2" s="16"/>
      <c r="AU2" s="17" t="s">
        <v>40</v>
      </c>
      <c r="AV2" s="17"/>
    </row>
    <row r="3" spans="1:48" x14ac:dyDescent="0.25">
      <c r="A3" s="13" t="s">
        <v>1</v>
      </c>
      <c r="B3" s="13" t="s">
        <v>25</v>
      </c>
      <c r="C3" s="13" t="s">
        <v>26</v>
      </c>
      <c r="D3" s="13" t="s">
        <v>27</v>
      </c>
      <c r="E3" s="13" t="s">
        <v>28</v>
      </c>
      <c r="F3" s="13"/>
      <c r="G3" s="13" t="s">
        <v>29</v>
      </c>
      <c r="H3" s="13" t="s">
        <v>30</v>
      </c>
      <c r="I3" s="15" t="s">
        <v>31</v>
      </c>
      <c r="J3" s="15" t="s">
        <v>32</v>
      </c>
      <c r="K3" s="15" t="s">
        <v>33</v>
      </c>
      <c r="L3" s="13" t="s">
        <v>34</v>
      </c>
      <c r="M3" s="13"/>
      <c r="N3" s="13" t="s">
        <v>29</v>
      </c>
      <c r="O3" s="13" t="s">
        <v>30</v>
      </c>
      <c r="P3" s="15" t="s">
        <v>31</v>
      </c>
      <c r="Q3" s="15" t="s">
        <v>32</v>
      </c>
      <c r="R3" s="15" t="s">
        <v>33</v>
      </c>
      <c r="S3" s="13" t="s">
        <v>34</v>
      </c>
      <c r="T3" s="13"/>
      <c r="U3" s="13" t="s">
        <v>29</v>
      </c>
      <c r="V3" s="13" t="s">
        <v>34</v>
      </c>
      <c r="W3" s="13"/>
      <c r="X3" s="13" t="s">
        <v>35</v>
      </c>
      <c r="Y3" s="13" t="s">
        <v>36</v>
      </c>
      <c r="AB3" s="13" t="s">
        <v>27</v>
      </c>
      <c r="AC3" s="13"/>
      <c r="AD3" s="13" t="s">
        <v>29</v>
      </c>
      <c r="AE3" s="13" t="s">
        <v>30</v>
      </c>
      <c r="AF3" s="15" t="s">
        <v>31</v>
      </c>
      <c r="AG3" s="15" t="s">
        <v>32</v>
      </c>
      <c r="AH3" s="15" t="s">
        <v>33</v>
      </c>
      <c r="AI3" s="13" t="s">
        <v>34</v>
      </c>
      <c r="AJ3" s="13"/>
      <c r="AK3" s="13" t="s">
        <v>29</v>
      </c>
      <c r="AL3" s="13" t="s">
        <v>30</v>
      </c>
      <c r="AM3" s="15" t="s">
        <v>31</v>
      </c>
      <c r="AN3" s="15" t="s">
        <v>32</v>
      </c>
      <c r="AO3" s="15" t="s">
        <v>33</v>
      </c>
      <c r="AP3" s="13" t="s">
        <v>34</v>
      </c>
      <c r="AQ3" s="13"/>
      <c r="AR3" s="13" t="s">
        <v>29</v>
      </c>
      <c r="AS3" s="13" t="s">
        <v>34</v>
      </c>
      <c r="AT3" s="13"/>
      <c r="AU3" s="13" t="s">
        <v>35</v>
      </c>
      <c r="AV3" s="13" t="s">
        <v>36</v>
      </c>
    </row>
    <row r="4" spans="1:48" x14ac:dyDescent="0.25">
      <c r="A4" s="6" t="s">
        <v>51</v>
      </c>
      <c r="B4" s="7">
        <v>32</v>
      </c>
      <c r="C4" s="1">
        <v>6450</v>
      </c>
      <c r="D4" s="9">
        <v>0.41699999999999998</v>
      </c>
      <c r="E4" s="9">
        <v>13.1</v>
      </c>
      <c r="F4" s="9"/>
      <c r="G4" s="9">
        <v>0.73099999999999998</v>
      </c>
      <c r="H4" s="9">
        <v>0.23400000000000001</v>
      </c>
      <c r="I4" s="9">
        <v>0.188</v>
      </c>
      <c r="J4" s="9">
        <v>0.128</v>
      </c>
      <c r="K4" s="9">
        <v>0.182</v>
      </c>
      <c r="L4" s="9">
        <v>0.26900000000000002</v>
      </c>
      <c r="M4" s="9"/>
      <c r="N4" s="9">
        <v>0.45600000000000002</v>
      </c>
      <c r="O4" s="9">
        <v>0.59299999999999997</v>
      </c>
      <c r="P4" s="9">
        <v>0.41299999999999998</v>
      </c>
      <c r="Q4" s="9">
        <v>0.38900000000000001</v>
      </c>
      <c r="R4" s="9">
        <v>0.372</v>
      </c>
      <c r="S4" s="9">
        <v>0.31</v>
      </c>
      <c r="T4" s="9"/>
      <c r="U4" s="9">
        <v>0.496</v>
      </c>
      <c r="V4" s="9">
        <v>0.86199999999999999</v>
      </c>
      <c r="W4" s="9"/>
      <c r="X4" s="10">
        <v>0.16600000000000001</v>
      </c>
      <c r="Y4" s="10">
        <v>0.35199999999999998</v>
      </c>
      <c r="Z4" s="5"/>
      <c r="AA4" s="5"/>
      <c r="AB4" s="5">
        <f t="shared" ref="AB4:AB18" si="0">RANK(D4,D$4:D$18,0)</f>
        <v>9</v>
      </c>
      <c r="AC4" s="5"/>
      <c r="AD4" s="5">
        <f t="shared" ref="AD4:AD18" si="1">RANK(G4,G$4:G$18,0)</f>
        <v>3</v>
      </c>
      <c r="AE4" s="5">
        <f t="shared" ref="AE4:AE18" si="2">RANK(H4,H$4:H$18,0)</f>
        <v>5</v>
      </c>
      <c r="AF4" s="5">
        <f t="shared" ref="AF4:AF18" si="3">RANK(I4,I$4:I$18,0)</f>
        <v>11</v>
      </c>
      <c r="AG4" s="5">
        <f t="shared" ref="AG4:AG18" si="4">RANK(J4,J$4:J$18,0)</f>
        <v>3</v>
      </c>
      <c r="AH4" s="5">
        <f t="shared" ref="AH4:AH18" si="5">RANK(K4,K$4:K$18,0)</f>
        <v>2</v>
      </c>
      <c r="AI4" s="5">
        <f t="shared" ref="AI4:AI18" si="6">RANK(L4,L$4:L$18,0)</f>
        <v>10</v>
      </c>
      <c r="AJ4" s="5"/>
      <c r="AK4" s="5">
        <f t="shared" ref="AK4:AK18" si="7">RANK(N4,N$4:N$18,0)</f>
        <v>10</v>
      </c>
      <c r="AL4" s="5">
        <f t="shared" ref="AL4:AL18" si="8">RANK(O4,O$4:O$18,0)</f>
        <v>11</v>
      </c>
      <c r="AM4" s="5">
        <f t="shared" ref="AM4:AM18" si="9">RANK(P4,P$4:P$18,0)</f>
        <v>8</v>
      </c>
      <c r="AN4" s="5">
        <f t="shared" ref="AN4:AN18" si="10">RANK(Q4,Q$4:Q$18,0)</f>
        <v>3</v>
      </c>
      <c r="AO4" s="5">
        <f t="shared" ref="AO4:AO18" si="11">RANK(R4,R$4:R$18,0)</f>
        <v>6</v>
      </c>
      <c r="AP4" s="5">
        <f t="shared" ref="AP4:AP18" si="12">RANK(S4,S$4:S$18,0)</f>
        <v>11</v>
      </c>
      <c r="AQ4" s="5"/>
      <c r="AR4" s="5">
        <f t="shared" ref="AR4:AR18" si="13">RANK(U4,U$4:U$18,0)</f>
        <v>11</v>
      </c>
      <c r="AS4" s="5">
        <f t="shared" ref="AS4:AS18" si="14">RANK(V4,V$4:V$18,0)</f>
        <v>7</v>
      </c>
      <c r="AT4" s="5"/>
      <c r="AU4" s="5">
        <f t="shared" ref="AU4:AU18" si="15">RANK(X4,X$4:X$18,0)</f>
        <v>4</v>
      </c>
      <c r="AV4" s="5">
        <f t="shared" ref="AV4:AV18" si="16">RANK(Y4,Y$4:Y$18,0)</f>
        <v>9</v>
      </c>
    </row>
    <row r="5" spans="1:48" x14ac:dyDescent="0.25">
      <c r="A5" s="6" t="s">
        <v>47</v>
      </c>
      <c r="B5" s="7">
        <v>32</v>
      </c>
      <c r="C5" s="1">
        <v>6500</v>
      </c>
      <c r="D5" s="9">
        <v>0.441</v>
      </c>
      <c r="E5" s="9">
        <v>12.5</v>
      </c>
      <c r="F5" s="9"/>
      <c r="G5" s="9">
        <v>0.69599999999999995</v>
      </c>
      <c r="H5" s="9">
        <v>0.27500000000000002</v>
      </c>
      <c r="I5" s="9">
        <v>0.21199999999999999</v>
      </c>
      <c r="J5" s="9">
        <v>0.106</v>
      </c>
      <c r="K5" s="9">
        <v>0.10299999999999999</v>
      </c>
      <c r="L5" s="9">
        <v>0.30399999999999999</v>
      </c>
      <c r="M5" s="9"/>
      <c r="N5" s="9">
        <v>0.48399999999999999</v>
      </c>
      <c r="O5" s="9">
        <v>0.61599999999999999</v>
      </c>
      <c r="P5" s="9">
        <v>0.45</v>
      </c>
      <c r="Q5" s="9">
        <v>0.38200000000000001</v>
      </c>
      <c r="R5" s="9">
        <v>0.30299999999999999</v>
      </c>
      <c r="S5" s="9">
        <v>0.34300000000000003</v>
      </c>
      <c r="T5" s="9"/>
      <c r="U5" s="9">
        <v>0.65100000000000002</v>
      </c>
      <c r="V5" s="9">
        <v>0.88800000000000001</v>
      </c>
      <c r="W5" s="9"/>
      <c r="X5" s="10">
        <v>0.14599999999999999</v>
      </c>
      <c r="Y5" s="10">
        <v>0.42399999999999999</v>
      </c>
      <c r="Z5" s="5"/>
      <c r="AA5" s="5"/>
      <c r="AB5" s="5">
        <f t="shared" si="0"/>
        <v>6</v>
      </c>
      <c r="AC5" s="5"/>
      <c r="AD5" s="5">
        <f t="shared" si="1"/>
        <v>6</v>
      </c>
      <c r="AE5" s="5">
        <f t="shared" si="2"/>
        <v>2</v>
      </c>
      <c r="AF5" s="5">
        <f t="shared" si="3"/>
        <v>9</v>
      </c>
      <c r="AG5" s="5">
        <f t="shared" si="4"/>
        <v>9</v>
      </c>
      <c r="AH5" s="5">
        <f t="shared" si="5"/>
        <v>8</v>
      </c>
      <c r="AI5" s="5">
        <f t="shared" si="6"/>
        <v>7</v>
      </c>
      <c r="AJ5" s="5"/>
      <c r="AK5" s="5">
        <f t="shared" si="7"/>
        <v>4</v>
      </c>
      <c r="AL5" s="5">
        <f t="shared" si="8"/>
        <v>10</v>
      </c>
      <c r="AM5" s="5">
        <f t="shared" si="9"/>
        <v>4</v>
      </c>
      <c r="AN5" s="5">
        <f t="shared" si="10"/>
        <v>6</v>
      </c>
      <c r="AO5" s="5">
        <f t="shared" si="11"/>
        <v>12</v>
      </c>
      <c r="AP5" s="5">
        <f t="shared" si="12"/>
        <v>7</v>
      </c>
      <c r="AQ5" s="5"/>
      <c r="AR5" s="5">
        <f t="shared" si="13"/>
        <v>1</v>
      </c>
      <c r="AS5" s="5">
        <f t="shared" si="14"/>
        <v>3</v>
      </c>
      <c r="AT5" s="5"/>
      <c r="AU5" s="5">
        <f t="shared" si="15"/>
        <v>6</v>
      </c>
      <c r="AV5" s="5">
        <f t="shared" si="16"/>
        <v>2</v>
      </c>
    </row>
    <row r="6" spans="1:48" x14ac:dyDescent="0.25">
      <c r="A6" s="6" t="s">
        <v>42</v>
      </c>
      <c r="B6" s="7">
        <v>32</v>
      </c>
      <c r="C6" s="1">
        <v>6450</v>
      </c>
      <c r="D6" s="9">
        <v>0.44400000000000001</v>
      </c>
      <c r="E6" s="9">
        <v>12.5</v>
      </c>
      <c r="F6" s="9"/>
      <c r="G6" s="9">
        <v>0.70199999999999996</v>
      </c>
      <c r="H6" s="9">
        <v>0.28100000000000003</v>
      </c>
      <c r="I6" s="9">
        <v>0.20100000000000001</v>
      </c>
      <c r="J6" s="9">
        <v>0.125</v>
      </c>
      <c r="K6" s="9">
        <v>9.4E-2</v>
      </c>
      <c r="L6" s="9">
        <v>0.29799999999999999</v>
      </c>
      <c r="M6" s="9"/>
      <c r="N6" s="9">
        <v>0.48199999999999998</v>
      </c>
      <c r="O6" s="9">
        <v>0.63100000000000001</v>
      </c>
      <c r="P6" s="9">
        <v>0.42299999999999999</v>
      </c>
      <c r="Q6" s="9">
        <v>0.35399999999999998</v>
      </c>
      <c r="R6" s="9">
        <v>0.33</v>
      </c>
      <c r="S6" s="9">
        <v>0.35599999999999998</v>
      </c>
      <c r="T6" s="9"/>
      <c r="U6" s="9">
        <v>0.54600000000000004</v>
      </c>
      <c r="V6" s="9">
        <v>0.84799999999999998</v>
      </c>
      <c r="W6" s="9"/>
      <c r="X6" s="10">
        <v>0.16800000000000001</v>
      </c>
      <c r="Y6" s="10">
        <v>0.33300000000000002</v>
      </c>
      <c r="Z6" s="5"/>
      <c r="AA6" s="5"/>
      <c r="AB6" s="5">
        <f t="shared" si="0"/>
        <v>5</v>
      </c>
      <c r="AC6" s="5"/>
      <c r="AD6" s="5">
        <f t="shared" si="1"/>
        <v>5</v>
      </c>
      <c r="AE6" s="5">
        <f t="shared" si="2"/>
        <v>1</v>
      </c>
      <c r="AF6" s="5">
        <f t="shared" si="3"/>
        <v>10</v>
      </c>
      <c r="AG6" s="5">
        <f t="shared" si="4"/>
        <v>4</v>
      </c>
      <c r="AH6" s="5">
        <f t="shared" si="5"/>
        <v>11</v>
      </c>
      <c r="AI6" s="5">
        <f t="shared" si="6"/>
        <v>8</v>
      </c>
      <c r="AJ6" s="5"/>
      <c r="AK6" s="5">
        <f t="shared" si="7"/>
        <v>6</v>
      </c>
      <c r="AL6" s="5">
        <f t="shared" si="8"/>
        <v>7</v>
      </c>
      <c r="AM6" s="5">
        <f t="shared" si="9"/>
        <v>7</v>
      </c>
      <c r="AN6" s="5">
        <f t="shared" si="10"/>
        <v>10</v>
      </c>
      <c r="AO6" s="5">
        <f t="shared" si="11"/>
        <v>11</v>
      </c>
      <c r="AP6" s="5">
        <f t="shared" si="12"/>
        <v>4</v>
      </c>
      <c r="AQ6" s="5"/>
      <c r="AR6" s="5">
        <f t="shared" si="13"/>
        <v>8</v>
      </c>
      <c r="AS6" s="5">
        <f t="shared" si="14"/>
        <v>9</v>
      </c>
      <c r="AT6" s="5"/>
      <c r="AU6" s="5">
        <f t="shared" si="15"/>
        <v>3</v>
      </c>
      <c r="AV6" s="5">
        <f t="shared" si="16"/>
        <v>12</v>
      </c>
    </row>
    <row r="7" spans="1:48" x14ac:dyDescent="0.25">
      <c r="A7" s="6" t="s">
        <v>48</v>
      </c>
      <c r="B7" s="7">
        <v>32</v>
      </c>
      <c r="C7" s="1">
        <v>6450</v>
      </c>
      <c r="D7" s="9">
        <v>0.42</v>
      </c>
      <c r="E7" s="9">
        <v>13.6</v>
      </c>
      <c r="F7" s="9"/>
      <c r="G7" s="9">
        <v>0.67300000000000004</v>
      </c>
      <c r="H7" s="9">
        <v>0.217</v>
      </c>
      <c r="I7" s="9">
        <v>0.215</v>
      </c>
      <c r="J7" s="9">
        <v>0.121</v>
      </c>
      <c r="K7" s="9">
        <v>0.12</v>
      </c>
      <c r="L7" s="9">
        <v>0.32700000000000001</v>
      </c>
      <c r="M7" s="9"/>
      <c r="N7" s="9">
        <v>0.45100000000000001</v>
      </c>
      <c r="O7" s="9">
        <v>0.622</v>
      </c>
      <c r="P7" s="9">
        <v>0.39200000000000002</v>
      </c>
      <c r="Q7" s="9">
        <v>0.34300000000000003</v>
      </c>
      <c r="R7" s="9">
        <v>0.35799999999999998</v>
      </c>
      <c r="S7" s="9">
        <v>0.35399999999999998</v>
      </c>
      <c r="T7" s="9"/>
      <c r="U7" s="9">
        <v>0.51200000000000001</v>
      </c>
      <c r="V7" s="9">
        <v>0.77500000000000002</v>
      </c>
      <c r="W7" s="9"/>
      <c r="X7" s="10">
        <v>0.11899999999999999</v>
      </c>
      <c r="Y7" s="10">
        <v>0.35199999999999998</v>
      </c>
      <c r="Z7" s="5"/>
      <c r="AA7" s="5"/>
      <c r="AB7" s="5">
        <f t="shared" si="0"/>
        <v>8</v>
      </c>
      <c r="AC7" s="5"/>
      <c r="AD7" s="5">
        <f t="shared" si="1"/>
        <v>8</v>
      </c>
      <c r="AE7" s="5">
        <f t="shared" si="2"/>
        <v>7</v>
      </c>
      <c r="AF7" s="5">
        <f t="shared" si="3"/>
        <v>8</v>
      </c>
      <c r="AG7" s="5">
        <f t="shared" si="4"/>
        <v>6</v>
      </c>
      <c r="AH7" s="5">
        <f t="shared" si="5"/>
        <v>6</v>
      </c>
      <c r="AI7" s="5">
        <f t="shared" si="6"/>
        <v>5</v>
      </c>
      <c r="AJ7" s="5"/>
      <c r="AK7" s="5">
        <f t="shared" si="7"/>
        <v>11</v>
      </c>
      <c r="AL7" s="5">
        <f t="shared" si="8"/>
        <v>8</v>
      </c>
      <c r="AM7" s="5">
        <f t="shared" si="9"/>
        <v>10</v>
      </c>
      <c r="AN7" s="5">
        <f t="shared" si="10"/>
        <v>12</v>
      </c>
      <c r="AO7" s="5">
        <f t="shared" si="11"/>
        <v>7</v>
      </c>
      <c r="AP7" s="5">
        <f t="shared" si="12"/>
        <v>5</v>
      </c>
      <c r="AQ7" s="5"/>
      <c r="AR7" s="5">
        <f t="shared" si="13"/>
        <v>10</v>
      </c>
      <c r="AS7" s="5">
        <f t="shared" si="14"/>
        <v>12</v>
      </c>
      <c r="AT7" s="5"/>
      <c r="AU7" s="5">
        <f t="shared" si="15"/>
        <v>12</v>
      </c>
      <c r="AV7" s="5">
        <f t="shared" si="16"/>
        <v>9</v>
      </c>
    </row>
    <row r="8" spans="1:48" x14ac:dyDescent="0.25">
      <c r="A8" s="6" t="s">
        <v>53</v>
      </c>
      <c r="B8" s="7">
        <v>32</v>
      </c>
      <c r="C8" s="1">
        <v>6400</v>
      </c>
      <c r="D8" s="9">
        <v>0.41699999999999998</v>
      </c>
      <c r="E8" s="9">
        <v>12.8</v>
      </c>
      <c r="F8" s="9"/>
      <c r="G8" s="9">
        <v>0.747</v>
      </c>
      <c r="H8" s="9">
        <v>0.27100000000000002</v>
      </c>
      <c r="I8" s="9">
        <v>0.18099999999999999</v>
      </c>
      <c r="J8" s="9">
        <v>0.10299999999999999</v>
      </c>
      <c r="K8" s="9">
        <v>0.192</v>
      </c>
      <c r="L8" s="9">
        <v>0.253</v>
      </c>
      <c r="M8" s="9"/>
      <c r="N8" s="9">
        <v>0.46100000000000002</v>
      </c>
      <c r="O8" s="9">
        <v>0.58099999999999996</v>
      </c>
      <c r="P8" s="9">
        <v>0.39100000000000001</v>
      </c>
      <c r="Q8" s="9">
        <v>0.40600000000000003</v>
      </c>
      <c r="R8" s="9">
        <v>0.38800000000000001</v>
      </c>
      <c r="S8" s="9">
        <v>0.28399999999999997</v>
      </c>
      <c r="T8" s="9"/>
      <c r="U8" s="9">
        <v>0.54100000000000004</v>
      </c>
      <c r="V8" s="9">
        <v>0.80900000000000005</v>
      </c>
      <c r="W8" s="9"/>
      <c r="X8" s="10">
        <v>0.14499999999999999</v>
      </c>
      <c r="Y8" s="10">
        <v>0.35</v>
      </c>
      <c r="Z8" s="5"/>
      <c r="AA8" s="5"/>
      <c r="AB8" s="5">
        <f t="shared" si="0"/>
        <v>9</v>
      </c>
      <c r="AC8" s="5"/>
      <c r="AD8" s="5">
        <f t="shared" si="1"/>
        <v>2</v>
      </c>
      <c r="AE8" s="5">
        <f t="shared" si="2"/>
        <v>3</v>
      </c>
      <c r="AF8" s="5">
        <f t="shared" si="3"/>
        <v>12</v>
      </c>
      <c r="AG8" s="5">
        <f t="shared" si="4"/>
        <v>10</v>
      </c>
      <c r="AH8" s="5">
        <f t="shared" si="5"/>
        <v>1</v>
      </c>
      <c r="AI8" s="5">
        <f t="shared" si="6"/>
        <v>11</v>
      </c>
      <c r="AJ8" s="5"/>
      <c r="AK8" s="5">
        <f t="shared" si="7"/>
        <v>9</v>
      </c>
      <c r="AL8" s="5">
        <f t="shared" si="8"/>
        <v>12</v>
      </c>
      <c r="AM8" s="5">
        <f t="shared" si="9"/>
        <v>11</v>
      </c>
      <c r="AN8" s="5">
        <f t="shared" si="10"/>
        <v>2</v>
      </c>
      <c r="AO8" s="5">
        <f t="shared" si="11"/>
        <v>4</v>
      </c>
      <c r="AP8" s="5">
        <f t="shared" si="12"/>
        <v>12</v>
      </c>
      <c r="AQ8" s="5"/>
      <c r="AR8" s="5">
        <f t="shared" si="13"/>
        <v>9</v>
      </c>
      <c r="AS8" s="5">
        <f t="shared" si="14"/>
        <v>10</v>
      </c>
      <c r="AT8" s="5"/>
      <c r="AU8" s="5">
        <f t="shared" si="15"/>
        <v>7</v>
      </c>
      <c r="AV8" s="5">
        <f t="shared" si="16"/>
        <v>11</v>
      </c>
    </row>
    <row r="9" spans="1:48" x14ac:dyDescent="0.25">
      <c r="A9" s="6" t="s">
        <v>50</v>
      </c>
      <c r="B9" s="7">
        <v>32</v>
      </c>
      <c r="C9" s="1">
        <v>6450</v>
      </c>
      <c r="D9" s="9">
        <v>0.41099999999999998</v>
      </c>
      <c r="E9" s="9">
        <v>14.2</v>
      </c>
      <c r="F9" s="9"/>
      <c r="G9" s="9">
        <v>0.69399999999999995</v>
      </c>
      <c r="H9" s="9">
        <v>0.19800000000000001</v>
      </c>
      <c r="I9" s="9">
        <v>0.24199999999999999</v>
      </c>
      <c r="J9" s="9">
        <v>0.121</v>
      </c>
      <c r="K9" s="9">
        <v>0.13400000000000001</v>
      </c>
      <c r="L9" s="9">
        <v>0.30599999999999999</v>
      </c>
      <c r="M9" s="9"/>
      <c r="N9" s="9">
        <v>0.44400000000000001</v>
      </c>
      <c r="O9" s="9">
        <v>0.65200000000000002</v>
      </c>
      <c r="P9" s="9">
        <v>0.36499999999999999</v>
      </c>
      <c r="Q9" s="9">
        <v>0.36199999999999999</v>
      </c>
      <c r="R9" s="9">
        <v>0.35099999999999998</v>
      </c>
      <c r="S9" s="9">
        <v>0.33500000000000002</v>
      </c>
      <c r="T9" s="9"/>
      <c r="U9" s="9">
        <v>0.47599999999999998</v>
      </c>
      <c r="V9" s="9">
        <v>0.85599999999999998</v>
      </c>
      <c r="W9" s="9"/>
      <c r="X9" s="10">
        <v>0.14099999999999999</v>
      </c>
      <c r="Y9" s="10">
        <v>0.38500000000000001</v>
      </c>
      <c r="Z9" s="5"/>
      <c r="AA9" s="5"/>
      <c r="AB9" s="5">
        <f t="shared" si="0"/>
        <v>11</v>
      </c>
      <c r="AC9" s="5"/>
      <c r="AD9" s="5">
        <f t="shared" si="1"/>
        <v>7</v>
      </c>
      <c r="AE9" s="5">
        <f t="shared" si="2"/>
        <v>8</v>
      </c>
      <c r="AF9" s="5">
        <f t="shared" si="3"/>
        <v>4</v>
      </c>
      <c r="AG9" s="5">
        <f t="shared" si="4"/>
        <v>6</v>
      </c>
      <c r="AH9" s="5">
        <f t="shared" si="5"/>
        <v>4</v>
      </c>
      <c r="AI9" s="5">
        <f t="shared" si="6"/>
        <v>6</v>
      </c>
      <c r="AJ9" s="5"/>
      <c r="AK9" s="5">
        <f t="shared" si="7"/>
        <v>12</v>
      </c>
      <c r="AL9" s="5">
        <f t="shared" si="8"/>
        <v>6</v>
      </c>
      <c r="AM9" s="5">
        <f t="shared" si="9"/>
        <v>12</v>
      </c>
      <c r="AN9" s="5">
        <f t="shared" si="10"/>
        <v>9</v>
      </c>
      <c r="AO9" s="5">
        <f t="shared" si="11"/>
        <v>8</v>
      </c>
      <c r="AP9" s="5">
        <f t="shared" si="12"/>
        <v>9</v>
      </c>
      <c r="AQ9" s="5"/>
      <c r="AR9" s="5">
        <f t="shared" si="13"/>
        <v>12</v>
      </c>
      <c r="AS9" s="5">
        <f t="shared" si="14"/>
        <v>8</v>
      </c>
      <c r="AT9" s="5"/>
      <c r="AU9" s="5">
        <f t="shared" si="15"/>
        <v>9</v>
      </c>
      <c r="AV9" s="5">
        <f t="shared" si="16"/>
        <v>4</v>
      </c>
    </row>
    <row r="10" spans="1:48" x14ac:dyDescent="0.25">
      <c r="A10" s="6" t="s">
        <v>43</v>
      </c>
      <c r="B10" s="7">
        <v>32</v>
      </c>
      <c r="C10" s="1">
        <v>6475</v>
      </c>
      <c r="D10" s="9">
        <v>0.47199999999999998</v>
      </c>
      <c r="E10" s="9">
        <v>12.1</v>
      </c>
      <c r="F10" s="9"/>
      <c r="G10" s="9">
        <v>0.80800000000000005</v>
      </c>
      <c r="H10" s="9">
        <v>0.17499999999999999</v>
      </c>
      <c r="I10" s="9">
        <v>0.29399999999999998</v>
      </c>
      <c r="J10" s="9">
        <v>0.18099999999999999</v>
      </c>
      <c r="K10" s="9">
        <v>0.158</v>
      </c>
      <c r="L10" s="9">
        <v>0.192</v>
      </c>
      <c r="M10" s="9"/>
      <c r="N10" s="9">
        <v>0.495</v>
      </c>
      <c r="O10" s="9">
        <v>0.66500000000000004</v>
      </c>
      <c r="P10" s="9">
        <v>0.505</v>
      </c>
      <c r="Q10" s="9">
        <v>0.38700000000000001</v>
      </c>
      <c r="R10" s="9">
        <v>0.41099999999999998</v>
      </c>
      <c r="S10" s="9">
        <v>0.375</v>
      </c>
      <c r="T10" s="9"/>
      <c r="U10" s="9">
        <v>0.58699999999999997</v>
      </c>
      <c r="V10" s="9">
        <v>0.86399999999999999</v>
      </c>
      <c r="W10" s="9"/>
      <c r="X10" s="10">
        <v>0.13200000000000001</v>
      </c>
      <c r="Y10" s="10">
        <v>0.36799999999999999</v>
      </c>
      <c r="Z10" s="5"/>
      <c r="AA10" s="5"/>
      <c r="AB10" s="5">
        <f t="shared" si="0"/>
        <v>1</v>
      </c>
      <c r="AC10" s="5"/>
      <c r="AD10" s="5">
        <f t="shared" si="1"/>
        <v>1</v>
      </c>
      <c r="AE10" s="5">
        <f t="shared" si="2"/>
        <v>11</v>
      </c>
      <c r="AF10" s="5">
        <f t="shared" si="3"/>
        <v>1</v>
      </c>
      <c r="AG10" s="5">
        <f t="shared" si="4"/>
        <v>1</v>
      </c>
      <c r="AH10" s="5">
        <f t="shared" si="5"/>
        <v>3</v>
      </c>
      <c r="AI10" s="5">
        <f t="shared" si="6"/>
        <v>12</v>
      </c>
      <c r="AJ10" s="5"/>
      <c r="AK10" s="5">
        <f t="shared" si="7"/>
        <v>3</v>
      </c>
      <c r="AL10" s="5">
        <f t="shared" si="8"/>
        <v>4</v>
      </c>
      <c r="AM10" s="5">
        <f t="shared" si="9"/>
        <v>1</v>
      </c>
      <c r="AN10" s="5">
        <f t="shared" si="10"/>
        <v>4</v>
      </c>
      <c r="AO10" s="5">
        <f t="shared" si="11"/>
        <v>1</v>
      </c>
      <c r="AP10" s="5">
        <f t="shared" si="12"/>
        <v>2</v>
      </c>
      <c r="AQ10" s="5"/>
      <c r="AR10" s="5">
        <f t="shared" si="13"/>
        <v>5</v>
      </c>
      <c r="AS10" s="5">
        <f t="shared" si="14"/>
        <v>6</v>
      </c>
      <c r="AT10" s="5"/>
      <c r="AU10" s="5">
        <f t="shared" si="15"/>
        <v>11</v>
      </c>
      <c r="AV10" s="5">
        <f t="shared" si="16"/>
        <v>7</v>
      </c>
    </row>
    <row r="11" spans="1:48" x14ac:dyDescent="0.25">
      <c r="A11" s="6" t="s">
        <v>45</v>
      </c>
      <c r="B11" s="7">
        <v>32</v>
      </c>
      <c r="C11" s="1">
        <v>6450</v>
      </c>
      <c r="D11" s="9">
        <v>0.45800000000000002</v>
      </c>
      <c r="E11" s="9">
        <v>12.8</v>
      </c>
      <c r="F11" s="9"/>
      <c r="G11" s="9">
        <v>0.70399999999999996</v>
      </c>
      <c r="H11" s="9">
        <v>0.23799999999999999</v>
      </c>
      <c r="I11" s="9">
        <v>0.22600000000000001</v>
      </c>
      <c r="J11" s="9">
        <v>0.124</v>
      </c>
      <c r="K11" s="9">
        <v>0.11600000000000001</v>
      </c>
      <c r="L11" s="9">
        <v>0.29599999999999999</v>
      </c>
      <c r="M11" s="9"/>
      <c r="N11" s="9">
        <v>0.50700000000000001</v>
      </c>
      <c r="O11" s="9">
        <v>0.65400000000000003</v>
      </c>
      <c r="P11" s="9">
        <v>0.44900000000000001</v>
      </c>
      <c r="Q11" s="9">
        <v>0.42499999999999999</v>
      </c>
      <c r="R11" s="9">
        <v>0.40600000000000003</v>
      </c>
      <c r="S11" s="9">
        <v>0.34</v>
      </c>
      <c r="T11" s="9"/>
      <c r="U11" s="9">
        <v>0.59699999999999998</v>
      </c>
      <c r="V11" s="9">
        <v>0.90700000000000003</v>
      </c>
      <c r="W11" s="9"/>
      <c r="X11" s="10">
        <v>0.14299999999999999</v>
      </c>
      <c r="Y11" s="10">
        <v>0.38500000000000001</v>
      </c>
      <c r="Z11" s="5"/>
      <c r="AA11" s="5"/>
      <c r="AB11" s="5">
        <f t="shared" si="0"/>
        <v>2</v>
      </c>
      <c r="AC11" s="5"/>
      <c r="AD11" s="5">
        <f t="shared" si="1"/>
        <v>4</v>
      </c>
      <c r="AE11" s="5">
        <f t="shared" si="2"/>
        <v>4</v>
      </c>
      <c r="AF11" s="5">
        <f t="shared" si="3"/>
        <v>6</v>
      </c>
      <c r="AG11" s="5">
        <f t="shared" si="4"/>
        <v>5</v>
      </c>
      <c r="AH11" s="5">
        <f t="shared" si="5"/>
        <v>7</v>
      </c>
      <c r="AI11" s="5">
        <f t="shared" si="6"/>
        <v>9</v>
      </c>
      <c r="AJ11" s="5"/>
      <c r="AK11" s="5">
        <f t="shared" si="7"/>
        <v>1</v>
      </c>
      <c r="AL11" s="5">
        <f t="shared" si="8"/>
        <v>5</v>
      </c>
      <c r="AM11" s="5">
        <f t="shared" si="9"/>
        <v>5</v>
      </c>
      <c r="AN11" s="5">
        <f t="shared" si="10"/>
        <v>1</v>
      </c>
      <c r="AO11" s="5">
        <f t="shared" si="11"/>
        <v>2</v>
      </c>
      <c r="AP11" s="5">
        <f t="shared" si="12"/>
        <v>8</v>
      </c>
      <c r="AQ11" s="5"/>
      <c r="AR11" s="5">
        <f t="shared" si="13"/>
        <v>4</v>
      </c>
      <c r="AS11" s="5">
        <f t="shared" si="14"/>
        <v>1</v>
      </c>
      <c r="AT11" s="5"/>
      <c r="AU11" s="5">
        <f t="shared" si="15"/>
        <v>8</v>
      </c>
      <c r="AV11" s="5">
        <f t="shared" si="16"/>
        <v>4</v>
      </c>
    </row>
    <row r="12" spans="1:48" x14ac:dyDescent="0.25">
      <c r="A12" s="6" t="s">
        <v>52</v>
      </c>
      <c r="B12" s="7">
        <v>32</v>
      </c>
      <c r="C12" s="1">
        <v>6425</v>
      </c>
      <c r="D12" s="9">
        <v>0.42799999999999999</v>
      </c>
      <c r="E12" s="9">
        <v>14.7</v>
      </c>
      <c r="F12" s="9"/>
      <c r="G12" s="9">
        <v>0.57999999999999996</v>
      </c>
      <c r="H12" s="9">
        <v>0.191</v>
      </c>
      <c r="I12" s="9">
        <v>0.216</v>
      </c>
      <c r="J12" s="9">
        <v>7.8E-2</v>
      </c>
      <c r="K12" s="9">
        <v>9.6000000000000002E-2</v>
      </c>
      <c r="L12" s="9">
        <v>0.42</v>
      </c>
      <c r="M12" s="9"/>
      <c r="N12" s="9">
        <v>0.47499999999999998</v>
      </c>
      <c r="O12" s="9">
        <v>0.66600000000000004</v>
      </c>
      <c r="P12" s="9">
        <v>0.39900000000000002</v>
      </c>
      <c r="Q12" s="9">
        <v>0.376</v>
      </c>
      <c r="R12" s="9">
        <v>0.34699999999999998</v>
      </c>
      <c r="S12" s="9">
        <v>0.36199999999999999</v>
      </c>
      <c r="T12" s="9"/>
      <c r="U12" s="9">
        <v>0.57099999999999995</v>
      </c>
      <c r="V12" s="9">
        <v>0.879</v>
      </c>
      <c r="W12" s="9"/>
      <c r="X12" s="10">
        <v>0.17100000000000001</v>
      </c>
      <c r="Y12" s="10">
        <v>0.441</v>
      </c>
      <c r="Z12" s="5"/>
      <c r="AA12" s="5"/>
      <c r="AB12" s="5">
        <f t="shared" si="0"/>
        <v>7</v>
      </c>
      <c r="AC12" s="5"/>
      <c r="AD12" s="5">
        <f t="shared" si="1"/>
        <v>12</v>
      </c>
      <c r="AE12" s="5">
        <f t="shared" si="2"/>
        <v>9</v>
      </c>
      <c r="AF12" s="5">
        <f t="shared" si="3"/>
        <v>7</v>
      </c>
      <c r="AG12" s="5">
        <f t="shared" si="4"/>
        <v>12</v>
      </c>
      <c r="AH12" s="5">
        <f t="shared" si="5"/>
        <v>10</v>
      </c>
      <c r="AI12" s="5">
        <f t="shared" si="6"/>
        <v>1</v>
      </c>
      <c r="AJ12" s="5"/>
      <c r="AK12" s="5">
        <f t="shared" si="7"/>
        <v>7</v>
      </c>
      <c r="AL12" s="5">
        <f t="shared" si="8"/>
        <v>3</v>
      </c>
      <c r="AM12" s="5">
        <f t="shared" si="9"/>
        <v>9</v>
      </c>
      <c r="AN12" s="5">
        <f t="shared" si="10"/>
        <v>7</v>
      </c>
      <c r="AO12" s="5">
        <f t="shared" si="11"/>
        <v>9</v>
      </c>
      <c r="AP12" s="5">
        <f t="shared" si="12"/>
        <v>3</v>
      </c>
      <c r="AQ12" s="5"/>
      <c r="AR12" s="5">
        <f t="shared" si="13"/>
        <v>6</v>
      </c>
      <c r="AS12" s="5">
        <f t="shared" si="14"/>
        <v>5</v>
      </c>
      <c r="AT12" s="5"/>
      <c r="AU12" s="5">
        <f t="shared" si="15"/>
        <v>2</v>
      </c>
      <c r="AV12" s="5">
        <f t="shared" si="16"/>
        <v>1</v>
      </c>
    </row>
    <row r="13" spans="1:48" x14ac:dyDescent="0.25">
      <c r="A13" s="6" t="s">
        <v>46</v>
      </c>
      <c r="B13" s="7">
        <v>32</v>
      </c>
      <c r="C13" s="1">
        <v>6450</v>
      </c>
      <c r="D13" s="9">
        <v>0.45</v>
      </c>
      <c r="E13" s="9">
        <v>13.1</v>
      </c>
      <c r="F13" s="9"/>
      <c r="G13" s="9">
        <v>0.66800000000000004</v>
      </c>
      <c r="H13" s="9">
        <v>0.224</v>
      </c>
      <c r="I13" s="9">
        <v>0.25800000000000001</v>
      </c>
      <c r="J13" s="9">
        <v>8.4000000000000005E-2</v>
      </c>
      <c r="K13" s="9">
        <v>0.10199999999999999</v>
      </c>
      <c r="L13" s="9">
        <v>0.33200000000000002</v>
      </c>
      <c r="M13" s="9"/>
      <c r="N13" s="9">
        <v>0.501</v>
      </c>
      <c r="O13" s="9">
        <v>0.61899999999999999</v>
      </c>
      <c r="P13" s="9">
        <v>0.48399999999999999</v>
      </c>
      <c r="Q13" s="9">
        <v>0.38400000000000001</v>
      </c>
      <c r="R13" s="9">
        <v>0.38100000000000001</v>
      </c>
      <c r="S13" s="9">
        <v>0.34599999999999997</v>
      </c>
      <c r="T13" s="9"/>
      <c r="U13" s="9">
        <v>0.621</v>
      </c>
      <c r="V13" s="9">
        <v>0.79700000000000004</v>
      </c>
      <c r="W13" s="9"/>
      <c r="X13" s="10">
        <v>0.19500000000000001</v>
      </c>
      <c r="Y13" s="10">
        <v>0.36799999999999999</v>
      </c>
      <c r="Z13" s="5"/>
      <c r="AA13" s="5"/>
      <c r="AB13" s="5">
        <f t="shared" si="0"/>
        <v>3</v>
      </c>
      <c r="AC13" s="5"/>
      <c r="AD13" s="5">
        <f t="shared" si="1"/>
        <v>10</v>
      </c>
      <c r="AE13" s="5">
        <f t="shared" si="2"/>
        <v>6</v>
      </c>
      <c r="AF13" s="5">
        <f t="shared" si="3"/>
        <v>2</v>
      </c>
      <c r="AG13" s="5">
        <f t="shared" si="4"/>
        <v>11</v>
      </c>
      <c r="AH13" s="5">
        <f t="shared" si="5"/>
        <v>9</v>
      </c>
      <c r="AI13" s="5">
        <f t="shared" si="6"/>
        <v>3</v>
      </c>
      <c r="AJ13" s="5"/>
      <c r="AK13" s="5">
        <f t="shared" si="7"/>
        <v>2</v>
      </c>
      <c r="AL13" s="5">
        <f t="shared" si="8"/>
        <v>9</v>
      </c>
      <c r="AM13" s="5">
        <f t="shared" si="9"/>
        <v>2</v>
      </c>
      <c r="AN13" s="5">
        <f t="shared" si="10"/>
        <v>5</v>
      </c>
      <c r="AO13" s="5">
        <f t="shared" si="11"/>
        <v>5</v>
      </c>
      <c r="AP13" s="5">
        <f t="shared" si="12"/>
        <v>6</v>
      </c>
      <c r="AQ13" s="5"/>
      <c r="AR13" s="5">
        <f t="shared" si="13"/>
        <v>2</v>
      </c>
      <c r="AS13" s="5">
        <f t="shared" si="14"/>
        <v>11</v>
      </c>
      <c r="AT13" s="5"/>
      <c r="AU13" s="5">
        <f t="shared" si="15"/>
        <v>1</v>
      </c>
      <c r="AV13" s="5">
        <f t="shared" si="16"/>
        <v>7</v>
      </c>
    </row>
    <row r="14" spans="1:48" x14ac:dyDescent="0.25">
      <c r="A14" s="6" t="s">
        <v>44</v>
      </c>
      <c r="B14" s="7">
        <v>32</v>
      </c>
      <c r="C14" s="1">
        <v>6525</v>
      </c>
      <c r="D14" s="9">
        <v>0.45</v>
      </c>
      <c r="E14" s="9">
        <v>14.5</v>
      </c>
      <c r="F14" s="9"/>
      <c r="G14" s="9">
        <v>0.67200000000000004</v>
      </c>
      <c r="H14" s="9">
        <v>0.19</v>
      </c>
      <c r="I14" s="9">
        <v>0.23499999999999999</v>
      </c>
      <c r="J14" s="9">
        <v>0.12</v>
      </c>
      <c r="K14" s="9">
        <v>0.126</v>
      </c>
      <c r="L14" s="9">
        <v>0.32800000000000001</v>
      </c>
      <c r="M14" s="9"/>
      <c r="N14" s="9">
        <v>0.48399999999999999</v>
      </c>
      <c r="O14" s="9">
        <v>0.66800000000000004</v>
      </c>
      <c r="P14" s="9">
        <v>0.442</v>
      </c>
      <c r="Q14" s="9">
        <v>0.37</v>
      </c>
      <c r="R14" s="9">
        <v>0.39600000000000002</v>
      </c>
      <c r="S14" s="9">
        <v>0.38</v>
      </c>
      <c r="T14" s="9"/>
      <c r="U14" s="9">
        <v>0.60799999999999998</v>
      </c>
      <c r="V14" s="9">
        <v>0.89100000000000001</v>
      </c>
      <c r="W14" s="9"/>
      <c r="X14" s="10">
        <v>0.14000000000000001</v>
      </c>
      <c r="Y14" s="10">
        <v>0.38600000000000001</v>
      </c>
      <c r="Z14" s="5"/>
      <c r="AA14" s="5"/>
      <c r="AB14" s="5">
        <f t="shared" si="0"/>
        <v>3</v>
      </c>
      <c r="AC14" s="5"/>
      <c r="AD14" s="5">
        <f t="shared" si="1"/>
        <v>9</v>
      </c>
      <c r="AE14" s="5">
        <f t="shared" si="2"/>
        <v>10</v>
      </c>
      <c r="AF14" s="5">
        <f t="shared" si="3"/>
        <v>5</v>
      </c>
      <c r="AG14" s="5">
        <f t="shared" si="4"/>
        <v>8</v>
      </c>
      <c r="AH14" s="5">
        <f t="shared" si="5"/>
        <v>5</v>
      </c>
      <c r="AI14" s="5">
        <f t="shared" si="6"/>
        <v>4</v>
      </c>
      <c r="AJ14" s="5"/>
      <c r="AK14" s="5">
        <f t="shared" si="7"/>
        <v>4</v>
      </c>
      <c r="AL14" s="5">
        <f t="shared" si="8"/>
        <v>2</v>
      </c>
      <c r="AM14" s="5">
        <f t="shared" si="9"/>
        <v>6</v>
      </c>
      <c r="AN14" s="5">
        <f t="shared" si="10"/>
        <v>8</v>
      </c>
      <c r="AO14" s="5">
        <f t="shared" si="11"/>
        <v>3</v>
      </c>
      <c r="AP14" s="5">
        <f t="shared" si="12"/>
        <v>1</v>
      </c>
      <c r="AQ14" s="5"/>
      <c r="AR14" s="5">
        <f t="shared" si="13"/>
        <v>3</v>
      </c>
      <c r="AS14" s="5">
        <f t="shared" si="14"/>
        <v>2</v>
      </c>
      <c r="AT14" s="5"/>
      <c r="AU14" s="5">
        <f t="shared" si="15"/>
        <v>10</v>
      </c>
      <c r="AV14" s="5">
        <f t="shared" si="16"/>
        <v>3</v>
      </c>
    </row>
    <row r="15" spans="1:48" x14ac:dyDescent="0.25">
      <c r="A15" s="6" t="s">
        <v>49</v>
      </c>
      <c r="B15" s="7">
        <v>32</v>
      </c>
      <c r="C15" s="1">
        <v>6425</v>
      </c>
      <c r="D15" s="9">
        <v>0.41</v>
      </c>
      <c r="E15" s="9">
        <v>15</v>
      </c>
      <c r="F15" s="9"/>
      <c r="G15" s="9">
        <v>0.60399999999999998</v>
      </c>
      <c r="H15" s="9">
        <v>0.127</v>
      </c>
      <c r="I15" s="9">
        <v>0.25800000000000001</v>
      </c>
      <c r="J15" s="9">
        <v>0.13</v>
      </c>
      <c r="K15" s="9">
        <v>8.7999999999999995E-2</v>
      </c>
      <c r="L15" s="9">
        <v>0.39600000000000002</v>
      </c>
      <c r="M15" s="9"/>
      <c r="N15" s="9">
        <v>0.46400000000000002</v>
      </c>
      <c r="O15" s="9">
        <v>0.68799999999999994</v>
      </c>
      <c r="P15" s="9">
        <v>0.45600000000000002</v>
      </c>
      <c r="Q15" s="9">
        <v>0.34399999999999997</v>
      </c>
      <c r="R15" s="9">
        <v>0.33800000000000002</v>
      </c>
      <c r="S15" s="9">
        <v>0.32800000000000001</v>
      </c>
      <c r="T15" s="9"/>
      <c r="U15" s="9">
        <v>0.55200000000000005</v>
      </c>
      <c r="V15" s="9">
        <v>0.88200000000000001</v>
      </c>
      <c r="W15" s="9"/>
      <c r="X15" s="10">
        <v>0.157</v>
      </c>
      <c r="Y15" s="10">
        <v>0.37</v>
      </c>
      <c r="Z15" s="5"/>
      <c r="AA15" s="5"/>
      <c r="AB15" s="5">
        <f t="shared" si="0"/>
        <v>12</v>
      </c>
      <c r="AC15" s="5"/>
      <c r="AD15" s="5">
        <f t="shared" si="1"/>
        <v>11</v>
      </c>
      <c r="AE15" s="5">
        <f t="shared" si="2"/>
        <v>12</v>
      </c>
      <c r="AF15" s="5">
        <f t="shared" si="3"/>
        <v>2</v>
      </c>
      <c r="AG15" s="5">
        <f t="shared" si="4"/>
        <v>2</v>
      </c>
      <c r="AH15" s="5">
        <f t="shared" si="5"/>
        <v>12</v>
      </c>
      <c r="AI15" s="5">
        <f t="shared" si="6"/>
        <v>2</v>
      </c>
      <c r="AJ15" s="5"/>
      <c r="AK15" s="5">
        <f t="shared" si="7"/>
        <v>8</v>
      </c>
      <c r="AL15" s="5">
        <f t="shared" si="8"/>
        <v>1</v>
      </c>
      <c r="AM15" s="5">
        <f t="shared" si="9"/>
        <v>3</v>
      </c>
      <c r="AN15" s="5">
        <f t="shared" si="10"/>
        <v>11</v>
      </c>
      <c r="AO15" s="5">
        <f t="shared" si="11"/>
        <v>10</v>
      </c>
      <c r="AP15" s="5">
        <f t="shared" si="12"/>
        <v>10</v>
      </c>
      <c r="AQ15" s="5"/>
      <c r="AR15" s="5">
        <f t="shared" si="13"/>
        <v>7</v>
      </c>
      <c r="AS15" s="5">
        <f t="shared" si="14"/>
        <v>4</v>
      </c>
      <c r="AT15" s="5"/>
      <c r="AU15" s="5">
        <f t="shared" si="15"/>
        <v>5</v>
      </c>
      <c r="AV15" s="5">
        <f t="shared" si="16"/>
        <v>6</v>
      </c>
    </row>
    <row r="16" spans="1:48" x14ac:dyDescent="0.25">
      <c r="A16" s="6"/>
      <c r="B16" s="7"/>
      <c r="C16" s="1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10"/>
      <c r="Y16" s="10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</row>
    <row r="17" spans="1:48" x14ac:dyDescent="0.25">
      <c r="A17" s="6"/>
      <c r="B17" s="7"/>
      <c r="C17" s="1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10"/>
      <c r="Y17" s="10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</row>
    <row r="18" spans="1:48" x14ac:dyDescent="0.25">
      <c r="A18" s="6"/>
      <c r="B18" s="7"/>
      <c r="C18" s="1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10"/>
      <c r="Y18" s="10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</row>
    <row r="19" spans="1:48" x14ac:dyDescent="0.25">
      <c r="A19" s="4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5"/>
      <c r="Y19" s="5"/>
      <c r="Z19" s="5"/>
      <c r="AA19" s="5"/>
    </row>
    <row r="20" spans="1:48" x14ac:dyDescent="0.25">
      <c r="A20" s="4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5"/>
      <c r="Y20" s="5"/>
      <c r="Z20" s="5"/>
      <c r="AA20" s="5"/>
    </row>
    <row r="21" spans="1:48" x14ac:dyDescent="0.25">
      <c r="A21" s="4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5"/>
      <c r="Y21" s="5"/>
      <c r="Z21" s="5"/>
      <c r="AA21" s="5"/>
    </row>
    <row r="22" spans="1:48" ht="15.75" customHeight="1" x14ac:dyDescent="0.25">
      <c r="A22" s="4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5"/>
      <c r="Y22" s="5"/>
      <c r="Z22" s="5"/>
      <c r="AA22" s="5"/>
    </row>
    <row r="23" spans="1:48" ht="15.75" customHeight="1" x14ac:dyDescent="0.25">
      <c r="A23" s="4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5"/>
      <c r="Y23" s="5"/>
      <c r="Z23" s="5"/>
      <c r="AA23" s="5"/>
    </row>
    <row r="24" spans="1:48" ht="15.75" customHeight="1" x14ac:dyDescent="0.25">
      <c r="A24" s="6" t="s">
        <v>41</v>
      </c>
      <c r="B24" s="9">
        <f>AVERAGE(B4:B18)</f>
        <v>32</v>
      </c>
      <c r="C24" s="9">
        <f t="shared" ref="C24:Y24" si="17">AVERAGE(C4:C18)</f>
        <v>6454.166666666667</v>
      </c>
      <c r="D24" s="9">
        <f t="shared" si="17"/>
        <v>0.43483333333333335</v>
      </c>
      <c r="E24" s="9">
        <f t="shared" si="17"/>
        <v>13.408333333333333</v>
      </c>
      <c r="F24" s="9"/>
      <c r="G24" s="9">
        <f t="shared" si="17"/>
        <v>0.68991666666666662</v>
      </c>
      <c r="H24" s="9">
        <f t="shared" si="17"/>
        <v>0.2184166666666667</v>
      </c>
      <c r="I24" s="9">
        <f t="shared" si="17"/>
        <v>0.22716666666666663</v>
      </c>
      <c r="J24" s="9">
        <f t="shared" si="17"/>
        <v>0.11841666666666666</v>
      </c>
      <c r="K24" s="9">
        <f t="shared" si="17"/>
        <v>0.1259166666666667</v>
      </c>
      <c r="L24" s="9">
        <f t="shared" si="17"/>
        <v>0.31008333333333332</v>
      </c>
      <c r="M24" s="9"/>
      <c r="N24" s="9">
        <f t="shared" si="17"/>
        <v>0.47533333333333339</v>
      </c>
      <c r="O24" s="9">
        <f t="shared" si="17"/>
        <v>0.63791666666666669</v>
      </c>
      <c r="P24" s="9">
        <f t="shared" si="17"/>
        <v>0.43075000000000002</v>
      </c>
      <c r="Q24" s="9">
        <f t="shared" si="17"/>
        <v>0.37683333333333335</v>
      </c>
      <c r="R24" s="9">
        <f t="shared" si="17"/>
        <v>0.36508333333333337</v>
      </c>
      <c r="S24" s="9">
        <f t="shared" si="17"/>
        <v>0.34275000000000005</v>
      </c>
      <c r="T24" s="9"/>
      <c r="U24" s="9">
        <f t="shared" si="17"/>
        <v>0.5631666666666667</v>
      </c>
      <c r="V24" s="9">
        <f t="shared" si="17"/>
        <v>0.85483333333333322</v>
      </c>
      <c r="W24" s="9"/>
      <c r="X24" s="9">
        <f t="shared" si="17"/>
        <v>0.15191666666666667</v>
      </c>
      <c r="Y24" s="9">
        <f t="shared" si="17"/>
        <v>0.37616666666666659</v>
      </c>
      <c r="Z24" s="5"/>
      <c r="AA24" s="5"/>
    </row>
    <row r="25" spans="1:48" ht="15.75" customHeight="1" x14ac:dyDescent="0.25">
      <c r="A25" s="4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5"/>
      <c r="Y25" s="5"/>
      <c r="Z25" s="5"/>
      <c r="AA25" s="5"/>
    </row>
    <row r="26" spans="1:48" ht="15.75" customHeight="1" x14ac:dyDescent="0.25">
      <c r="A26" s="4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5"/>
      <c r="Y26" s="5"/>
      <c r="Z26" s="5"/>
      <c r="AA26" s="5"/>
    </row>
    <row r="27" spans="1:48" ht="15.75" customHeight="1" x14ac:dyDescent="0.25">
      <c r="A27" s="4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5"/>
      <c r="Y27" s="5"/>
      <c r="Z27" s="5"/>
      <c r="AA27" s="5"/>
    </row>
    <row r="28" spans="1:48" ht="15.75" customHeight="1" x14ac:dyDescent="0.25">
      <c r="A28" s="4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5"/>
      <c r="Y28" s="5"/>
      <c r="Z28" s="5"/>
      <c r="AA28" s="5"/>
    </row>
    <row r="29" spans="1:48" ht="15.7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5"/>
      <c r="Y29" s="5"/>
      <c r="Z29" s="5"/>
      <c r="AA29" s="5"/>
    </row>
    <row r="30" spans="1:48" ht="15.75" customHeight="1" x14ac:dyDescent="0.25">
      <c r="A30" s="4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5"/>
      <c r="Y30" s="5"/>
      <c r="Z30" s="5"/>
      <c r="AA30" s="5"/>
    </row>
    <row r="31" spans="1:48" ht="15.75" customHeight="1" x14ac:dyDescent="0.25">
      <c r="A31" s="4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5"/>
      <c r="Y31" s="5"/>
      <c r="Z31" s="5"/>
      <c r="AA31" s="5"/>
    </row>
    <row r="32" spans="1:48" ht="15.75" customHeight="1" x14ac:dyDescent="0.25">
      <c r="A32" s="4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5"/>
      <c r="Y32" s="5"/>
      <c r="Z32" s="5"/>
      <c r="AA32" s="5"/>
    </row>
    <row r="33" spans="1:27" ht="15.75" customHeight="1" x14ac:dyDescent="0.25">
      <c r="A33" s="4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5"/>
      <c r="Y33" s="5"/>
      <c r="Z33" s="5"/>
      <c r="AA33" s="5"/>
    </row>
    <row r="34" spans="1:27" ht="15.75" customHeight="1" x14ac:dyDescent="0.25">
      <c r="A34" s="4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5"/>
      <c r="Y34" s="5"/>
      <c r="Z34" s="5"/>
      <c r="AA34" s="5"/>
    </row>
    <row r="35" spans="1:27" ht="15.75" customHeight="1" x14ac:dyDescent="0.25">
      <c r="A35" s="4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5"/>
      <c r="Y35" s="5"/>
      <c r="Z35" s="5"/>
      <c r="AA35" s="5"/>
    </row>
    <row r="36" spans="1:27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5"/>
      <c r="Y36" s="5"/>
      <c r="Z36" s="5"/>
      <c r="AA36" s="5"/>
    </row>
    <row r="37" spans="1:27" ht="15.75" customHeight="1" x14ac:dyDescent="0.25">
      <c r="A37" s="4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5"/>
      <c r="Y37" s="5"/>
      <c r="Z37" s="5"/>
      <c r="AA37" s="5"/>
    </row>
    <row r="38" spans="1:27" ht="15.75" customHeight="1" x14ac:dyDescent="0.25">
      <c r="A38" s="4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5"/>
      <c r="Y38" s="5"/>
      <c r="Z38" s="5"/>
      <c r="AA38" s="5"/>
    </row>
    <row r="39" spans="1:27" ht="15.75" customHeight="1" x14ac:dyDescent="0.25">
      <c r="A39" s="4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5"/>
      <c r="Y39" s="5"/>
      <c r="Z39" s="5"/>
      <c r="AA39" s="5"/>
    </row>
    <row r="40" spans="1:27" ht="15.75" customHeight="1" x14ac:dyDescent="0.25">
      <c r="A40" s="4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5"/>
      <c r="Y40" s="5"/>
      <c r="Z40" s="5"/>
      <c r="AA40" s="5"/>
    </row>
    <row r="41" spans="1:27" ht="15.75" customHeight="1" x14ac:dyDescent="0.25">
      <c r="A41" s="4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5"/>
      <c r="Y41" s="5"/>
      <c r="Z41" s="5"/>
      <c r="AA41" s="5"/>
    </row>
    <row r="42" spans="1:27" ht="15.75" customHeight="1" x14ac:dyDescent="0.25">
      <c r="A42" s="4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5"/>
      <c r="Y42" s="5"/>
      <c r="Z42" s="5"/>
      <c r="AA42" s="5"/>
    </row>
    <row r="43" spans="1:27" ht="15.75" customHeight="1" x14ac:dyDescent="0.25">
      <c r="A43" s="4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5"/>
      <c r="Y43" s="5"/>
      <c r="Z43" s="5"/>
      <c r="AA43" s="5"/>
    </row>
    <row r="44" spans="1:27" ht="15.75" customHeight="1" x14ac:dyDescent="0.25">
      <c r="A44" s="4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5"/>
      <c r="Y44" s="5"/>
      <c r="Z44" s="5"/>
      <c r="AA44" s="5"/>
    </row>
    <row r="45" spans="1:27" ht="15.75" customHeight="1" x14ac:dyDescent="0.25">
      <c r="A45" s="4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5"/>
      <c r="Y45" s="5"/>
      <c r="Z45" s="5"/>
      <c r="AA45" s="5"/>
    </row>
    <row r="46" spans="1:27" ht="15.75" customHeight="1" x14ac:dyDescent="0.25">
      <c r="A46" s="4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5"/>
      <c r="Y46" s="5"/>
      <c r="Z46" s="5"/>
      <c r="AA46" s="5"/>
    </row>
    <row r="47" spans="1:27" ht="15.75" customHeight="1" x14ac:dyDescent="0.25">
      <c r="A47" s="4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5"/>
      <c r="Y47" s="5"/>
      <c r="Z47" s="5"/>
      <c r="AA47" s="5"/>
    </row>
    <row r="48" spans="1:27" ht="15.75" customHeight="1" x14ac:dyDescent="0.25">
      <c r="A48" s="4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5"/>
      <c r="Y48" s="5"/>
      <c r="Z48" s="5"/>
      <c r="AA48" s="5"/>
    </row>
    <row r="49" spans="1:27" ht="15.75" customHeight="1" x14ac:dyDescent="0.25">
      <c r="A49" s="4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5"/>
      <c r="Y49" s="5"/>
      <c r="Z49" s="5"/>
      <c r="AA49" s="5"/>
    </row>
    <row r="50" spans="1:27" ht="15.75" customHeight="1" x14ac:dyDescent="0.25">
      <c r="A50" s="4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5"/>
      <c r="Y50" s="5"/>
      <c r="Z50" s="5"/>
      <c r="AA50" s="5"/>
    </row>
    <row r="51" spans="1:27" ht="15.75" customHeight="1" x14ac:dyDescent="0.25">
      <c r="A51" s="4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5"/>
      <c r="Y51" s="5"/>
      <c r="Z51" s="5"/>
      <c r="AA51" s="5"/>
    </row>
    <row r="52" spans="1:27" ht="15.75" customHeight="1" x14ac:dyDescent="0.25">
      <c r="A52" s="4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5"/>
      <c r="Y52" s="5"/>
      <c r="Z52" s="5"/>
      <c r="AA52" s="5"/>
    </row>
    <row r="53" spans="1:27" ht="15.75" customHeight="1" x14ac:dyDescent="0.25">
      <c r="A53" s="4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5"/>
      <c r="Y53" s="5"/>
      <c r="Z53" s="5"/>
      <c r="AA53" s="5"/>
    </row>
    <row r="54" spans="1:27" ht="15.75" customHeight="1" x14ac:dyDescent="0.25">
      <c r="A54" s="4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5"/>
      <c r="Y54" s="5"/>
      <c r="Z54" s="5"/>
      <c r="AA54" s="5"/>
    </row>
    <row r="55" spans="1:27" ht="15.75" customHeight="1" x14ac:dyDescent="0.25">
      <c r="A55" s="4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5"/>
      <c r="Y55" s="5"/>
      <c r="Z55" s="5"/>
      <c r="AA55" s="5"/>
    </row>
    <row r="56" spans="1:27" ht="15.75" customHeight="1" x14ac:dyDescent="0.25">
      <c r="A56" s="4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5"/>
      <c r="Y56" s="5"/>
      <c r="Z56" s="5"/>
      <c r="AA56" s="5"/>
    </row>
    <row r="57" spans="1:27" ht="15.75" customHeight="1" x14ac:dyDescent="0.25">
      <c r="A57" s="4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5"/>
      <c r="Y57" s="5"/>
      <c r="Z57" s="5"/>
      <c r="AA57" s="5"/>
    </row>
    <row r="58" spans="1:27" ht="15.75" customHeight="1" x14ac:dyDescent="0.25">
      <c r="A58" s="4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5"/>
      <c r="Y58" s="5"/>
      <c r="Z58" s="5"/>
      <c r="AA58" s="5"/>
    </row>
    <row r="59" spans="1:27" ht="15.75" customHeight="1" x14ac:dyDescent="0.25">
      <c r="A59" s="4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5"/>
      <c r="Y59" s="5"/>
      <c r="Z59" s="5"/>
      <c r="AA59" s="5"/>
    </row>
    <row r="60" spans="1:27" ht="15.75" customHeight="1" x14ac:dyDescent="0.25">
      <c r="A60" s="4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5"/>
      <c r="Y60" s="5"/>
      <c r="Z60" s="5"/>
      <c r="AA60" s="5"/>
    </row>
    <row r="61" spans="1:27" ht="15.75" customHeight="1" x14ac:dyDescent="0.25">
      <c r="A61" s="4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5"/>
      <c r="Y61" s="5"/>
      <c r="Z61" s="5"/>
      <c r="AA61" s="5"/>
    </row>
    <row r="62" spans="1:27" ht="15.75" customHeight="1" x14ac:dyDescent="0.25">
      <c r="A62" s="4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5"/>
      <c r="Y62" s="5"/>
      <c r="Z62" s="5"/>
      <c r="AA62" s="5"/>
    </row>
    <row r="63" spans="1:27" ht="15.75" customHeight="1" x14ac:dyDescent="0.25">
      <c r="A63" s="4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5"/>
      <c r="Y63" s="5"/>
      <c r="Z63" s="5"/>
      <c r="AA63" s="5"/>
    </row>
    <row r="64" spans="1:27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5"/>
      <c r="Y64" s="5"/>
      <c r="Z64" s="5"/>
      <c r="AA64" s="5"/>
    </row>
    <row r="65" spans="1:27" ht="15.75" customHeight="1" x14ac:dyDescent="0.25">
      <c r="A65" s="4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5"/>
      <c r="Y65" s="5"/>
      <c r="Z65" s="5"/>
      <c r="AA65" s="5"/>
    </row>
    <row r="66" spans="1:27" ht="15.75" customHeight="1" x14ac:dyDescent="0.25">
      <c r="A66" s="4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5"/>
      <c r="Y66" s="5"/>
      <c r="Z66" s="5"/>
      <c r="AA66" s="5"/>
    </row>
    <row r="67" spans="1:27" ht="15.75" customHeight="1" x14ac:dyDescent="0.25">
      <c r="A67" s="4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5"/>
      <c r="Y67" s="5"/>
      <c r="Z67" s="5"/>
      <c r="AA67" s="5"/>
    </row>
    <row r="68" spans="1:27" ht="15.75" customHeight="1" x14ac:dyDescent="0.25">
      <c r="A68" s="4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5"/>
      <c r="Y68" s="5"/>
      <c r="Z68" s="5"/>
      <c r="AA68" s="5"/>
    </row>
    <row r="69" spans="1:27" ht="15.75" customHeight="1" x14ac:dyDescent="0.25">
      <c r="A69" s="4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5"/>
      <c r="Y69" s="5"/>
      <c r="Z69" s="5"/>
      <c r="AA69" s="5"/>
    </row>
    <row r="70" spans="1:27" ht="15.75" customHeight="1" x14ac:dyDescent="0.25">
      <c r="A70" s="4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5"/>
      <c r="Y70" s="5"/>
      <c r="Z70" s="5"/>
      <c r="AA70" s="5"/>
    </row>
    <row r="71" spans="1:27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5"/>
      <c r="Y71" s="5"/>
      <c r="Z71" s="5"/>
      <c r="AA71" s="5"/>
    </row>
    <row r="72" spans="1:27" ht="15.75" customHeight="1" x14ac:dyDescent="0.25">
      <c r="A72" s="4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5"/>
      <c r="Y72" s="5"/>
      <c r="Z72" s="5"/>
      <c r="AA72" s="5"/>
    </row>
    <row r="73" spans="1:27" ht="15.75" customHeight="1" x14ac:dyDescent="0.25">
      <c r="A73" s="4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5"/>
      <c r="Y73" s="5"/>
      <c r="Z73" s="5"/>
      <c r="AA73" s="5"/>
    </row>
    <row r="74" spans="1:27" ht="15.75" customHeight="1" x14ac:dyDescent="0.25">
      <c r="A74" s="4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5"/>
      <c r="Y74" s="5"/>
      <c r="Z74" s="5"/>
      <c r="AA74" s="5"/>
    </row>
    <row r="75" spans="1:27" ht="15.75" customHeight="1" x14ac:dyDescent="0.25">
      <c r="A75" s="4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5"/>
      <c r="Y75" s="5"/>
      <c r="Z75" s="5"/>
      <c r="AA75" s="5"/>
    </row>
    <row r="76" spans="1:27" ht="15.75" customHeight="1" x14ac:dyDescent="0.25">
      <c r="A76" s="4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5"/>
      <c r="Y76" s="5"/>
      <c r="Z76" s="5"/>
      <c r="AA76" s="5"/>
    </row>
    <row r="77" spans="1:27" ht="15.75" customHeight="1" x14ac:dyDescent="0.25">
      <c r="A77" s="4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5"/>
      <c r="Y77" s="5"/>
      <c r="Z77" s="5"/>
      <c r="AA77" s="5"/>
    </row>
    <row r="78" spans="1:27" ht="15.75" customHeight="1" x14ac:dyDescent="0.25">
      <c r="A78" s="4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5"/>
      <c r="Y78" s="5"/>
      <c r="Z78" s="5"/>
      <c r="AA78" s="5"/>
    </row>
    <row r="79" spans="1:27" ht="15.75" customHeight="1" x14ac:dyDescent="0.25">
      <c r="A79" s="4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5"/>
      <c r="Y79" s="5"/>
      <c r="Z79" s="5"/>
      <c r="AA79" s="5"/>
    </row>
    <row r="80" spans="1:27" ht="15.75" customHeight="1" x14ac:dyDescent="0.25">
      <c r="A80" s="4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5"/>
      <c r="Y80" s="5"/>
      <c r="Z80" s="5"/>
      <c r="AA80" s="5"/>
    </row>
    <row r="81" spans="1:27" ht="15.75" customHeight="1" x14ac:dyDescent="0.25">
      <c r="A81" s="4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5"/>
      <c r="Y81" s="5"/>
      <c r="Z81" s="5"/>
      <c r="AA81" s="5"/>
    </row>
    <row r="82" spans="1:27" ht="15.75" customHeight="1" x14ac:dyDescent="0.25">
      <c r="A82" s="4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5"/>
      <c r="Y82" s="5"/>
      <c r="Z82" s="5"/>
      <c r="AA82" s="5"/>
    </row>
    <row r="83" spans="1:27" ht="15.75" customHeight="1" x14ac:dyDescent="0.25">
      <c r="A83" s="4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5"/>
      <c r="Y83" s="5"/>
      <c r="Z83" s="5"/>
      <c r="AA83" s="5"/>
    </row>
    <row r="84" spans="1:27" ht="15.75" customHeight="1" x14ac:dyDescent="0.25">
      <c r="A84" s="4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5"/>
      <c r="Y84" s="5"/>
      <c r="Z84" s="5"/>
      <c r="AA84" s="5"/>
    </row>
    <row r="85" spans="1:27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5"/>
      <c r="Y85" s="5"/>
      <c r="Z85" s="5"/>
      <c r="AA85" s="5"/>
    </row>
    <row r="86" spans="1:27" ht="15.75" customHeight="1" x14ac:dyDescent="0.25">
      <c r="A86" s="4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5"/>
      <c r="Y86" s="5"/>
      <c r="Z86" s="5"/>
      <c r="AA86" s="5"/>
    </row>
    <row r="87" spans="1:27" ht="15.75" customHeight="1" x14ac:dyDescent="0.25">
      <c r="A87" s="4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5"/>
      <c r="Y87" s="5"/>
      <c r="Z87" s="5"/>
      <c r="AA87" s="5"/>
    </row>
    <row r="88" spans="1:27" ht="15.75" customHeight="1" x14ac:dyDescent="0.25">
      <c r="A88" s="4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5"/>
      <c r="Y88" s="5"/>
      <c r="Z88" s="5"/>
      <c r="AA88" s="5"/>
    </row>
    <row r="89" spans="1:27" ht="15.75" customHeight="1" x14ac:dyDescent="0.25">
      <c r="A89" s="4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5"/>
      <c r="Y89" s="5"/>
      <c r="Z89" s="5"/>
      <c r="AA89" s="5"/>
    </row>
    <row r="90" spans="1:27" ht="15.75" customHeight="1" x14ac:dyDescent="0.25">
      <c r="A90" s="4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5"/>
      <c r="Y90" s="5"/>
      <c r="Z90" s="5"/>
      <c r="AA90" s="5"/>
    </row>
    <row r="91" spans="1:27" ht="15.75" customHeight="1" x14ac:dyDescent="0.25">
      <c r="A91" s="4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5"/>
      <c r="Y91" s="5"/>
      <c r="Z91" s="5"/>
      <c r="AA91" s="5"/>
    </row>
    <row r="92" spans="1:27" ht="15.75" customHeight="1" x14ac:dyDescent="0.25">
      <c r="A92" s="4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5"/>
      <c r="Y92" s="5"/>
      <c r="Z92" s="5"/>
      <c r="AA92" s="5"/>
    </row>
    <row r="93" spans="1:27" ht="15.75" customHeight="1" x14ac:dyDescent="0.25">
      <c r="A93" s="4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5"/>
      <c r="Y93" s="5"/>
      <c r="Z93" s="5"/>
      <c r="AA93" s="5"/>
    </row>
    <row r="94" spans="1:27" ht="15.75" customHeight="1" x14ac:dyDescent="0.25">
      <c r="A94" s="4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5"/>
      <c r="Y94" s="5"/>
      <c r="Z94" s="5"/>
      <c r="AA94" s="5"/>
    </row>
    <row r="95" spans="1:27" ht="15.75" customHeight="1" x14ac:dyDescent="0.25">
      <c r="A95" s="4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5"/>
      <c r="Y95" s="5"/>
      <c r="Z95" s="5"/>
      <c r="AA95" s="5"/>
    </row>
    <row r="96" spans="1:27" ht="15.75" customHeight="1" x14ac:dyDescent="0.25">
      <c r="A96" s="4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5"/>
      <c r="Y96" s="5"/>
      <c r="Z96" s="5"/>
      <c r="AA96" s="5"/>
    </row>
    <row r="97" spans="1:27" ht="15.75" customHeight="1" x14ac:dyDescent="0.25">
      <c r="A97" s="4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5"/>
      <c r="Y97" s="5"/>
      <c r="Z97" s="5"/>
      <c r="AA97" s="5"/>
    </row>
    <row r="98" spans="1:27" ht="15.75" customHeight="1" x14ac:dyDescent="0.25">
      <c r="A98" s="4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5"/>
      <c r="Y98" s="5"/>
      <c r="Z98" s="5"/>
      <c r="AA98" s="5"/>
    </row>
    <row r="99" spans="1:27" ht="15.75" customHeight="1" x14ac:dyDescent="0.25">
      <c r="A99" s="4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5"/>
      <c r="Y99" s="5"/>
      <c r="Z99" s="5"/>
      <c r="AA99" s="5"/>
    </row>
    <row r="100" spans="1:27" ht="15.75" customHeight="1" x14ac:dyDescent="0.25">
      <c r="A100" s="4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5"/>
      <c r="Y100" s="5"/>
      <c r="Z100" s="5"/>
      <c r="AA100" s="5"/>
    </row>
    <row r="101" spans="1:27" ht="15.75" customHeight="1" x14ac:dyDescent="0.25">
      <c r="A101" s="4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5"/>
      <c r="Y101" s="5"/>
      <c r="Z101" s="5"/>
      <c r="AA101" s="5"/>
    </row>
    <row r="102" spans="1:27" ht="15.75" customHeight="1" x14ac:dyDescent="0.25">
      <c r="A102" s="4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5"/>
      <c r="Y102" s="5"/>
      <c r="Z102" s="5"/>
      <c r="AA102" s="5"/>
    </row>
    <row r="103" spans="1:27" ht="15.75" customHeight="1" x14ac:dyDescent="0.25">
      <c r="A103" s="4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5"/>
      <c r="Y103" s="5"/>
      <c r="Z103" s="5"/>
      <c r="AA103" s="5"/>
    </row>
    <row r="104" spans="1:27" ht="15.75" customHeight="1" x14ac:dyDescent="0.25">
      <c r="A104" s="4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5"/>
      <c r="Y104" s="5"/>
      <c r="Z104" s="5"/>
      <c r="AA104" s="5"/>
    </row>
    <row r="105" spans="1:27" ht="15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5"/>
      <c r="Y105" s="5"/>
      <c r="Z105" s="5"/>
      <c r="AA105" s="5"/>
    </row>
    <row r="106" spans="1:27" ht="15.75" customHeight="1" x14ac:dyDescent="0.25">
      <c r="A106" s="4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5"/>
      <c r="Y106" s="5"/>
      <c r="Z106" s="5"/>
      <c r="AA106" s="5"/>
    </row>
    <row r="107" spans="1:27" ht="15.75" customHeight="1" x14ac:dyDescent="0.25">
      <c r="A107" s="4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5"/>
      <c r="Y107" s="5"/>
      <c r="Z107" s="5"/>
      <c r="AA107" s="5"/>
    </row>
    <row r="108" spans="1:27" ht="15.75" customHeight="1" x14ac:dyDescent="0.25">
      <c r="A108" s="4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5"/>
      <c r="Y108" s="5"/>
      <c r="Z108" s="5"/>
      <c r="AA108" s="5"/>
    </row>
    <row r="109" spans="1:27" ht="15.75" customHeight="1" x14ac:dyDescent="0.25">
      <c r="A109" s="4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5"/>
      <c r="Y109" s="5"/>
      <c r="Z109" s="5"/>
      <c r="AA109" s="5"/>
    </row>
    <row r="110" spans="1:27" ht="15.75" customHeight="1" x14ac:dyDescent="0.25">
      <c r="A110" s="4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5"/>
      <c r="Y110" s="5"/>
      <c r="Z110" s="5"/>
      <c r="AA110" s="5"/>
    </row>
    <row r="111" spans="1:27" ht="15.75" customHeight="1" x14ac:dyDescent="0.25">
      <c r="A111" s="4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5"/>
      <c r="Y111" s="5"/>
      <c r="Z111" s="5"/>
      <c r="AA111" s="5"/>
    </row>
    <row r="112" spans="1:27" ht="15.75" customHeight="1" x14ac:dyDescent="0.25">
      <c r="A112" s="4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5"/>
      <c r="Y112" s="5"/>
      <c r="Z112" s="5"/>
      <c r="AA112" s="5"/>
    </row>
    <row r="113" spans="1:27" ht="15.75" customHeight="1" x14ac:dyDescent="0.25">
      <c r="A113" s="4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5"/>
      <c r="Y113" s="5"/>
      <c r="Z113" s="5"/>
      <c r="AA113" s="5"/>
    </row>
    <row r="114" spans="1:27" ht="15.75" customHeight="1" x14ac:dyDescent="0.25">
      <c r="A114" s="4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5"/>
      <c r="Y114" s="5"/>
      <c r="Z114" s="5"/>
      <c r="AA114" s="5"/>
    </row>
    <row r="115" spans="1:27" ht="15.75" customHeight="1" x14ac:dyDescent="0.25">
      <c r="A115" s="4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5"/>
      <c r="Y115" s="5"/>
      <c r="Z115" s="5"/>
      <c r="AA115" s="5"/>
    </row>
    <row r="116" spans="1:27" ht="15.75" customHeight="1" x14ac:dyDescent="0.25">
      <c r="A116" s="4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5"/>
      <c r="Y116" s="5"/>
      <c r="Z116" s="5"/>
      <c r="AA116" s="5"/>
    </row>
    <row r="117" spans="1:27" ht="15.75" customHeight="1" x14ac:dyDescent="0.25">
      <c r="A117" s="4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5"/>
      <c r="Y117" s="5"/>
      <c r="Z117" s="5"/>
      <c r="AA117" s="5"/>
    </row>
    <row r="118" spans="1:27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5"/>
      <c r="Y118" s="5"/>
      <c r="Z118" s="5"/>
      <c r="AA118" s="5"/>
    </row>
    <row r="119" spans="1:27" ht="15.75" customHeight="1" x14ac:dyDescent="0.25">
      <c r="A119" s="4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5"/>
      <c r="Y119" s="5"/>
      <c r="Z119" s="5"/>
      <c r="AA119" s="5"/>
    </row>
    <row r="120" spans="1:27" ht="15.75" customHeight="1" x14ac:dyDescent="0.25">
      <c r="A120" s="4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5"/>
      <c r="Y120" s="5"/>
      <c r="Z120" s="5"/>
      <c r="AA120" s="5"/>
    </row>
    <row r="121" spans="1:27" ht="15.75" customHeight="1" x14ac:dyDescent="0.25">
      <c r="A121" s="4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5"/>
      <c r="Y121" s="5"/>
      <c r="Z121" s="5"/>
      <c r="AA121" s="5"/>
    </row>
    <row r="122" spans="1:27" ht="15.75" customHeight="1" x14ac:dyDescent="0.25">
      <c r="A122" s="4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5"/>
      <c r="Y122" s="5"/>
      <c r="Z122" s="5"/>
      <c r="AA122" s="5"/>
    </row>
    <row r="123" spans="1:27" ht="15.75" customHeight="1" x14ac:dyDescent="0.25">
      <c r="A123" s="4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5"/>
      <c r="Y123" s="5"/>
      <c r="Z123" s="5"/>
      <c r="AA123" s="5"/>
    </row>
    <row r="124" spans="1:27" ht="15.75" customHeight="1" x14ac:dyDescent="0.25">
      <c r="A124" s="4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5"/>
      <c r="Y124" s="5"/>
      <c r="Z124" s="5"/>
      <c r="AA124" s="5"/>
    </row>
    <row r="125" spans="1:27" ht="15.75" customHeight="1" x14ac:dyDescent="0.25">
      <c r="A125" s="4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5"/>
      <c r="Y125" s="5"/>
      <c r="Z125" s="5"/>
      <c r="AA125" s="5"/>
    </row>
    <row r="126" spans="1:27" ht="15.75" customHeight="1" x14ac:dyDescent="0.25">
      <c r="A126" s="4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5"/>
      <c r="Y126" s="5"/>
      <c r="Z126" s="5"/>
      <c r="AA126" s="5"/>
    </row>
    <row r="127" spans="1:27" ht="15.75" customHeight="1" x14ac:dyDescent="0.25">
      <c r="A127" s="4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5"/>
      <c r="Y127" s="5"/>
      <c r="Z127" s="5"/>
      <c r="AA127" s="5"/>
    </row>
    <row r="128" spans="1:27" ht="15.75" customHeight="1" x14ac:dyDescent="0.25">
      <c r="A128" s="4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5"/>
      <c r="Y128" s="5"/>
      <c r="Z128" s="5"/>
      <c r="AA128" s="5"/>
    </row>
    <row r="129" spans="1:27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5"/>
      <c r="Y129" s="5"/>
      <c r="Z129" s="5"/>
      <c r="AA129" s="5"/>
    </row>
    <row r="130" spans="1:27" ht="15.75" customHeight="1" x14ac:dyDescent="0.25">
      <c r="A130" s="4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5"/>
      <c r="Y130" s="5"/>
      <c r="Z130" s="5"/>
      <c r="AA130" s="5"/>
    </row>
    <row r="131" spans="1:27" ht="15.75" customHeight="1" x14ac:dyDescent="0.25">
      <c r="A131" s="4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5"/>
      <c r="Y131" s="5"/>
      <c r="Z131" s="5"/>
      <c r="AA131" s="5"/>
    </row>
    <row r="132" spans="1:27" ht="15.75" customHeight="1" x14ac:dyDescent="0.25">
      <c r="A132" s="4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5"/>
      <c r="Y132" s="5"/>
      <c r="Z132" s="5"/>
      <c r="AA132" s="5"/>
    </row>
    <row r="133" spans="1:27" ht="15.75" customHeight="1" x14ac:dyDescent="0.25">
      <c r="A133" s="4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5"/>
      <c r="Y133" s="5"/>
      <c r="Z133" s="5"/>
      <c r="AA133" s="5"/>
    </row>
    <row r="134" spans="1:27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5"/>
      <c r="Y134" s="5"/>
      <c r="Z134" s="5"/>
      <c r="AA134" s="5"/>
    </row>
    <row r="135" spans="1:27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5"/>
      <c r="Y135" s="5"/>
      <c r="Z135" s="5"/>
      <c r="AA135" s="5"/>
    </row>
    <row r="136" spans="1:27" ht="15.75" customHeight="1" x14ac:dyDescent="0.25">
      <c r="A136" s="4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5"/>
      <c r="Y136" s="5"/>
      <c r="Z136" s="5"/>
      <c r="AA136" s="5"/>
    </row>
    <row r="137" spans="1:27" ht="15.75" customHeight="1" x14ac:dyDescent="0.25">
      <c r="A137" s="4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5"/>
      <c r="Y137" s="5"/>
      <c r="Z137" s="5"/>
      <c r="AA137" s="5"/>
    </row>
    <row r="138" spans="1:27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5"/>
      <c r="Y138" s="5"/>
      <c r="Z138" s="5"/>
      <c r="AA138" s="5"/>
    </row>
    <row r="139" spans="1:27" ht="15.75" customHeight="1" x14ac:dyDescent="0.25">
      <c r="A139" s="4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5"/>
      <c r="Y139" s="5"/>
      <c r="Z139" s="5"/>
      <c r="AA139" s="5"/>
    </row>
    <row r="140" spans="1:27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5"/>
      <c r="Y140" s="5"/>
      <c r="Z140" s="5"/>
      <c r="AA140" s="5"/>
    </row>
    <row r="141" spans="1:27" ht="15.75" customHeight="1" x14ac:dyDescent="0.25">
      <c r="A141" s="4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5"/>
      <c r="Y141" s="5"/>
      <c r="Z141" s="5"/>
      <c r="AA141" s="5"/>
    </row>
    <row r="142" spans="1:27" ht="15.75" customHeight="1" x14ac:dyDescent="0.25">
      <c r="A142" s="4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5"/>
      <c r="Y142" s="5"/>
      <c r="Z142" s="5"/>
      <c r="AA142" s="5"/>
    </row>
    <row r="143" spans="1:27" ht="15.75" customHeight="1" x14ac:dyDescent="0.25">
      <c r="A143" s="4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5"/>
      <c r="Y143" s="5"/>
      <c r="Z143" s="5"/>
      <c r="AA143" s="5"/>
    </row>
    <row r="144" spans="1:27" ht="15.75" customHeight="1" x14ac:dyDescent="0.25">
      <c r="A144" s="4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5"/>
      <c r="Y144" s="5"/>
      <c r="Z144" s="5"/>
      <c r="AA144" s="5"/>
    </row>
    <row r="145" spans="1:27" ht="15.75" customHeight="1" x14ac:dyDescent="0.25">
      <c r="A145" s="4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5"/>
      <c r="Y145" s="5"/>
      <c r="Z145" s="5"/>
      <c r="AA145" s="5"/>
    </row>
    <row r="146" spans="1:27" ht="15.75" customHeight="1" x14ac:dyDescent="0.25">
      <c r="A146" s="4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5"/>
      <c r="Y146" s="5"/>
      <c r="Z146" s="5"/>
      <c r="AA146" s="5"/>
    </row>
    <row r="147" spans="1:27" ht="15.75" customHeight="1" x14ac:dyDescent="0.25">
      <c r="A147" s="4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5"/>
      <c r="Y147" s="5"/>
      <c r="Z147" s="5"/>
      <c r="AA147" s="5"/>
    </row>
    <row r="148" spans="1:27" ht="15.75" customHeight="1" x14ac:dyDescent="0.25">
      <c r="A148" s="4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5"/>
      <c r="Y148" s="5"/>
      <c r="Z148" s="5"/>
      <c r="AA148" s="5"/>
    </row>
    <row r="149" spans="1:27" ht="15.75" customHeight="1" x14ac:dyDescent="0.25">
      <c r="A149" s="4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5"/>
      <c r="Y149" s="5"/>
      <c r="Z149" s="5"/>
      <c r="AA149" s="5"/>
    </row>
    <row r="150" spans="1:27" ht="15.75" customHeight="1" x14ac:dyDescent="0.25">
      <c r="A150" s="4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5"/>
      <c r="Y150" s="5"/>
      <c r="Z150" s="5"/>
      <c r="AA150" s="5"/>
    </row>
    <row r="151" spans="1:27" ht="15.75" customHeight="1" x14ac:dyDescent="0.25">
      <c r="A151" s="4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5"/>
      <c r="Y151" s="5"/>
      <c r="Z151" s="5"/>
      <c r="AA151" s="5"/>
    </row>
    <row r="152" spans="1:27" ht="15.75" customHeight="1" x14ac:dyDescent="0.25">
      <c r="A152" s="4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5"/>
      <c r="Y152" s="5"/>
      <c r="Z152" s="5"/>
      <c r="AA152" s="5"/>
    </row>
    <row r="153" spans="1:27" ht="15.75" customHeight="1" x14ac:dyDescent="0.25">
      <c r="A153" s="4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5"/>
      <c r="Y153" s="5"/>
      <c r="Z153" s="5"/>
      <c r="AA153" s="5"/>
    </row>
    <row r="154" spans="1:27" ht="15.75" customHeight="1" x14ac:dyDescent="0.25">
      <c r="A154" s="4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5"/>
      <c r="Y154" s="5"/>
      <c r="Z154" s="5"/>
      <c r="AA154" s="5"/>
    </row>
    <row r="155" spans="1:27" ht="15.75" customHeight="1" x14ac:dyDescent="0.25">
      <c r="A155" s="4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5"/>
      <c r="Y155" s="5"/>
      <c r="Z155" s="5"/>
      <c r="AA155" s="5"/>
    </row>
    <row r="156" spans="1:27" ht="15.75" customHeight="1" x14ac:dyDescent="0.25">
      <c r="A156" s="4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5"/>
      <c r="Y156" s="5"/>
      <c r="Z156" s="5"/>
      <c r="AA156" s="5"/>
    </row>
    <row r="157" spans="1:27" ht="15.75" customHeight="1" x14ac:dyDescent="0.25">
      <c r="A157" s="4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5"/>
      <c r="Y157" s="5"/>
      <c r="Z157" s="5"/>
      <c r="AA157" s="5"/>
    </row>
    <row r="158" spans="1:27" ht="15.75" customHeight="1" x14ac:dyDescent="0.25">
      <c r="A158" s="4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5"/>
      <c r="Y158" s="5"/>
      <c r="Z158" s="5"/>
      <c r="AA158" s="5"/>
    </row>
    <row r="159" spans="1:27" ht="15.75" customHeight="1" x14ac:dyDescent="0.25">
      <c r="A159" s="4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5"/>
      <c r="Y159" s="5"/>
      <c r="Z159" s="5"/>
      <c r="AA159" s="5"/>
    </row>
    <row r="160" spans="1:27" ht="15.75" customHeight="1" x14ac:dyDescent="0.25">
      <c r="A160" s="4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5"/>
      <c r="Y160" s="5"/>
      <c r="Z160" s="5"/>
      <c r="AA160" s="5"/>
    </row>
    <row r="161" spans="1:27" ht="15.75" customHeight="1" x14ac:dyDescent="0.25">
      <c r="A161" s="4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5"/>
      <c r="Y161" s="5"/>
      <c r="Z161" s="5"/>
      <c r="AA161" s="5"/>
    </row>
    <row r="162" spans="1:27" ht="15.75" customHeight="1" x14ac:dyDescent="0.25">
      <c r="A162" s="4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5"/>
      <c r="Y162" s="5"/>
      <c r="Z162" s="5"/>
      <c r="AA162" s="5"/>
    </row>
    <row r="163" spans="1:27" ht="15.75" customHeight="1" x14ac:dyDescent="0.25">
      <c r="A163" s="4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5"/>
      <c r="Y163" s="5"/>
      <c r="Z163" s="5"/>
      <c r="AA163" s="5"/>
    </row>
    <row r="164" spans="1:27" ht="15.75" customHeight="1" x14ac:dyDescent="0.25">
      <c r="A164" s="4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5"/>
      <c r="Y164" s="5"/>
      <c r="Z164" s="5"/>
      <c r="AA164" s="5"/>
    </row>
    <row r="165" spans="1:27" ht="15.75" customHeight="1" x14ac:dyDescent="0.25">
      <c r="A165" s="4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5"/>
      <c r="Y165" s="5"/>
      <c r="Z165" s="5"/>
      <c r="AA165" s="5"/>
    </row>
    <row r="166" spans="1:27" ht="15.75" customHeight="1" x14ac:dyDescent="0.25">
      <c r="A166" s="4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5"/>
      <c r="Y166" s="5"/>
      <c r="Z166" s="5"/>
      <c r="AA166" s="5"/>
    </row>
    <row r="167" spans="1:27" ht="15.75" customHeight="1" x14ac:dyDescent="0.25">
      <c r="A167" s="4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5"/>
      <c r="Y167" s="5"/>
      <c r="Z167" s="5"/>
      <c r="AA167" s="5"/>
    </row>
    <row r="168" spans="1:27" ht="15.75" customHeight="1" x14ac:dyDescent="0.25">
      <c r="A168" s="4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5"/>
      <c r="Y168" s="5"/>
      <c r="Z168" s="5"/>
      <c r="AA168" s="5"/>
    </row>
    <row r="169" spans="1:27" ht="15.75" customHeight="1" x14ac:dyDescent="0.25">
      <c r="A169" s="4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5"/>
      <c r="Y169" s="5"/>
      <c r="Z169" s="5"/>
      <c r="AA169" s="5"/>
    </row>
    <row r="170" spans="1:27" ht="15.75" customHeight="1" x14ac:dyDescent="0.25">
      <c r="A170" s="4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5"/>
      <c r="Y170" s="5"/>
      <c r="Z170" s="5"/>
      <c r="AA170" s="5"/>
    </row>
    <row r="171" spans="1:27" ht="15.75" customHeight="1" x14ac:dyDescent="0.25">
      <c r="A171" s="4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5"/>
      <c r="Y171" s="5"/>
      <c r="Z171" s="5"/>
      <c r="AA171" s="5"/>
    </row>
    <row r="172" spans="1:27" ht="15.75" customHeight="1" x14ac:dyDescent="0.25">
      <c r="A172" s="4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5"/>
      <c r="Y172" s="5"/>
      <c r="Z172" s="5"/>
      <c r="AA172" s="5"/>
    </row>
    <row r="173" spans="1:27" ht="15.75" customHeight="1" x14ac:dyDescent="0.25">
      <c r="A173" s="4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5"/>
      <c r="Y173" s="5"/>
      <c r="Z173" s="5"/>
      <c r="AA173" s="5"/>
    </row>
    <row r="174" spans="1:27" ht="15.75" customHeight="1" x14ac:dyDescent="0.25">
      <c r="A174" s="4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5"/>
      <c r="Y174" s="5"/>
      <c r="Z174" s="5"/>
      <c r="AA174" s="5"/>
    </row>
    <row r="175" spans="1:27" ht="15.75" customHeight="1" x14ac:dyDescent="0.25">
      <c r="A175" s="4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5"/>
      <c r="Y175" s="5"/>
      <c r="Z175" s="5"/>
      <c r="AA175" s="5"/>
    </row>
    <row r="176" spans="1:27" ht="15.75" customHeight="1" x14ac:dyDescent="0.25">
      <c r="A176" s="4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5"/>
      <c r="Y176" s="5"/>
      <c r="Z176" s="5"/>
      <c r="AA176" s="5"/>
    </row>
    <row r="177" spans="1:27" ht="15.75" customHeight="1" x14ac:dyDescent="0.25">
      <c r="A177" s="4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5"/>
      <c r="Y177" s="5"/>
      <c r="Z177" s="5"/>
      <c r="AA177" s="5"/>
    </row>
    <row r="178" spans="1:27" ht="15.75" customHeight="1" x14ac:dyDescent="0.25">
      <c r="A178" s="4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5"/>
      <c r="Y178" s="5"/>
      <c r="Z178" s="5"/>
      <c r="AA178" s="5"/>
    </row>
    <row r="179" spans="1:27" ht="15.75" customHeight="1" x14ac:dyDescent="0.25">
      <c r="A179" s="4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5"/>
      <c r="Y179" s="5"/>
      <c r="Z179" s="5"/>
      <c r="AA179" s="5"/>
    </row>
    <row r="180" spans="1:27" ht="15.75" customHeight="1" x14ac:dyDescent="0.25">
      <c r="A180" s="4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5"/>
      <c r="Y180" s="5"/>
      <c r="Z180" s="5"/>
      <c r="AA180" s="5"/>
    </row>
    <row r="181" spans="1:27" ht="15.75" customHeight="1" x14ac:dyDescent="0.25">
      <c r="A181" s="4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5"/>
      <c r="Y181" s="5"/>
      <c r="Z181" s="5"/>
      <c r="AA181" s="5"/>
    </row>
    <row r="182" spans="1:27" ht="15.75" customHeight="1" x14ac:dyDescent="0.25">
      <c r="A182" s="4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5"/>
      <c r="Y182" s="5"/>
      <c r="Z182" s="5"/>
      <c r="AA182" s="5"/>
    </row>
    <row r="183" spans="1:27" ht="15.75" customHeight="1" x14ac:dyDescent="0.25">
      <c r="A183" s="4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5"/>
      <c r="Y183" s="5"/>
      <c r="Z183" s="5"/>
      <c r="AA183" s="5"/>
    </row>
    <row r="184" spans="1:27" ht="15.75" customHeight="1" x14ac:dyDescent="0.25">
      <c r="A184" s="4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5"/>
      <c r="Y184" s="5"/>
      <c r="Z184" s="5"/>
      <c r="AA184" s="5"/>
    </row>
    <row r="185" spans="1:27" ht="15.75" customHeight="1" x14ac:dyDescent="0.25">
      <c r="A185" s="4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5"/>
      <c r="Y185" s="5"/>
      <c r="Z185" s="5"/>
      <c r="AA185" s="5"/>
    </row>
    <row r="186" spans="1:27" ht="15.75" customHeight="1" x14ac:dyDescent="0.25">
      <c r="A186" s="4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5"/>
      <c r="Y186" s="5"/>
      <c r="Z186" s="5"/>
      <c r="AA186" s="5"/>
    </row>
    <row r="187" spans="1:27" ht="15.75" customHeight="1" x14ac:dyDescent="0.25">
      <c r="A187" s="4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5"/>
      <c r="Y187" s="5"/>
      <c r="Z187" s="5"/>
      <c r="AA187" s="5"/>
    </row>
    <row r="188" spans="1:27" ht="15.75" customHeight="1" x14ac:dyDescent="0.25">
      <c r="A188" s="4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5"/>
      <c r="Y188" s="5"/>
      <c r="Z188" s="5"/>
      <c r="AA188" s="5"/>
    </row>
    <row r="189" spans="1:27" ht="15.75" customHeight="1" x14ac:dyDescent="0.25">
      <c r="A189" s="4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5"/>
      <c r="Y189" s="5"/>
      <c r="Z189" s="5"/>
      <c r="AA189" s="5"/>
    </row>
    <row r="190" spans="1:27" ht="15.75" customHeight="1" x14ac:dyDescent="0.25">
      <c r="A190" s="4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5"/>
      <c r="Y190" s="5"/>
      <c r="Z190" s="5"/>
      <c r="AA190" s="5"/>
    </row>
    <row r="191" spans="1:27" ht="15.75" customHeight="1" x14ac:dyDescent="0.25">
      <c r="A191" s="4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5"/>
      <c r="Y191" s="5"/>
      <c r="Z191" s="5"/>
      <c r="AA191" s="5"/>
    </row>
    <row r="192" spans="1:27" ht="15.75" customHeight="1" x14ac:dyDescent="0.25">
      <c r="A192" s="4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5"/>
      <c r="Y192" s="5"/>
      <c r="Z192" s="5"/>
      <c r="AA192" s="5"/>
    </row>
    <row r="193" spans="1:27" ht="15.75" customHeight="1" x14ac:dyDescent="0.25">
      <c r="A193" s="4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5"/>
      <c r="Y193" s="5"/>
      <c r="Z193" s="5"/>
      <c r="AA193" s="5"/>
    </row>
    <row r="194" spans="1:27" ht="15.75" customHeight="1" x14ac:dyDescent="0.25">
      <c r="A194" s="4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5"/>
      <c r="Y194" s="5"/>
      <c r="Z194" s="5"/>
      <c r="AA194" s="5"/>
    </row>
    <row r="195" spans="1:27" ht="15.75" customHeight="1" x14ac:dyDescent="0.25">
      <c r="A195" s="4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5"/>
      <c r="Y195" s="5"/>
      <c r="Z195" s="5"/>
      <c r="AA195" s="5"/>
    </row>
    <row r="196" spans="1:27" ht="15.75" customHeight="1" x14ac:dyDescent="0.25">
      <c r="A196" s="4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5"/>
      <c r="Y196" s="5"/>
      <c r="Z196" s="5"/>
      <c r="AA196" s="5"/>
    </row>
    <row r="197" spans="1:27" ht="15.75" customHeight="1" x14ac:dyDescent="0.25">
      <c r="A197" s="4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5"/>
      <c r="Y197" s="5"/>
      <c r="Z197" s="5"/>
      <c r="AA197" s="5"/>
    </row>
    <row r="198" spans="1:27" ht="15.75" customHeight="1" x14ac:dyDescent="0.25">
      <c r="A198" s="4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5"/>
      <c r="Y198" s="5"/>
      <c r="Z198" s="5"/>
      <c r="AA198" s="5"/>
    </row>
    <row r="199" spans="1:27" ht="15.75" customHeight="1" x14ac:dyDescent="0.25">
      <c r="A199" s="4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5"/>
      <c r="Y199" s="5"/>
      <c r="Z199" s="5"/>
      <c r="AA199" s="5"/>
    </row>
    <row r="200" spans="1:27" ht="15.75" customHeight="1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5"/>
      <c r="Y200" s="5"/>
      <c r="Z200" s="5"/>
      <c r="AA200" s="5"/>
    </row>
    <row r="201" spans="1:27" ht="15.75" customHeight="1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5"/>
      <c r="Y201" s="5"/>
      <c r="Z201" s="5"/>
      <c r="AA201" s="5"/>
    </row>
    <row r="202" spans="1:27" ht="15.75" customHeight="1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5"/>
      <c r="Y202" s="5"/>
      <c r="Z202" s="5"/>
      <c r="AA202" s="5"/>
    </row>
    <row r="203" spans="1:27" ht="15.75" customHeight="1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5"/>
      <c r="Y203" s="5"/>
      <c r="Z203" s="5"/>
      <c r="AA203" s="5"/>
    </row>
    <row r="204" spans="1:27" ht="15.75" customHeight="1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5"/>
      <c r="Y204" s="5"/>
      <c r="Z204" s="5"/>
      <c r="AA204" s="5"/>
    </row>
    <row r="205" spans="1:27" ht="15.75" customHeight="1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5"/>
      <c r="Y205" s="5"/>
      <c r="Z205" s="5"/>
      <c r="AA205" s="5"/>
    </row>
    <row r="206" spans="1:27" ht="15.75" customHeight="1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5"/>
      <c r="Y206" s="5"/>
      <c r="Z206" s="5"/>
      <c r="AA206" s="5"/>
    </row>
    <row r="207" spans="1:27" ht="15.75" customHeight="1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5"/>
      <c r="Y207" s="5"/>
      <c r="Z207" s="5"/>
      <c r="AA207" s="5"/>
    </row>
    <row r="208" spans="1:27" ht="15.75" customHeight="1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5"/>
      <c r="Y208" s="5"/>
      <c r="Z208" s="5"/>
      <c r="AA208" s="5"/>
    </row>
    <row r="209" spans="1:27" ht="15.75" customHeight="1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5"/>
      <c r="Y209" s="5"/>
      <c r="Z209" s="5"/>
      <c r="AA209" s="5"/>
    </row>
    <row r="210" spans="1:27" ht="15.75" customHeight="1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5"/>
      <c r="Y210" s="5"/>
      <c r="Z210" s="5"/>
      <c r="AA210" s="5"/>
    </row>
    <row r="211" spans="1:27" ht="15.75" customHeight="1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5"/>
      <c r="Y211" s="5"/>
      <c r="Z211" s="5"/>
      <c r="AA211" s="5"/>
    </row>
    <row r="212" spans="1:27" ht="15.75" customHeight="1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5"/>
      <c r="Y212" s="5"/>
      <c r="Z212" s="5"/>
      <c r="AA212" s="5"/>
    </row>
    <row r="213" spans="1:27" ht="15.75" customHeight="1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5"/>
      <c r="Y213" s="5"/>
      <c r="Z213" s="5"/>
      <c r="AA213" s="5"/>
    </row>
    <row r="214" spans="1:27" ht="15.75" customHeight="1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5"/>
      <c r="Y214" s="5"/>
      <c r="Z214" s="5"/>
      <c r="AA214" s="5"/>
    </row>
    <row r="215" spans="1:27" ht="15.75" customHeight="1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5"/>
      <c r="Y215" s="5"/>
      <c r="Z215" s="5"/>
      <c r="AA215" s="5"/>
    </row>
    <row r="216" spans="1:27" ht="15.75" customHeight="1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5"/>
      <c r="Y216" s="5"/>
      <c r="Z216" s="5"/>
      <c r="AA216" s="5"/>
    </row>
    <row r="217" spans="1:27" ht="15.75" customHeight="1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5"/>
      <c r="Y217" s="5"/>
      <c r="Z217" s="5"/>
      <c r="AA217" s="5"/>
    </row>
    <row r="218" spans="1:27" ht="15.75" customHeight="1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5"/>
      <c r="Y218" s="5"/>
      <c r="Z218" s="5"/>
      <c r="AA218" s="5"/>
    </row>
    <row r="219" spans="1:27" ht="15.75" customHeight="1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5"/>
      <c r="Y219" s="5"/>
      <c r="Z219" s="5"/>
      <c r="AA219" s="5"/>
    </row>
    <row r="220" spans="1:27" ht="15.75" customHeight="1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5"/>
      <c r="Y220" s="5"/>
      <c r="Z220" s="5"/>
      <c r="AA220" s="5"/>
    </row>
    <row r="221" spans="1:27" ht="15.75" customHeight="1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5"/>
      <c r="Y221" s="5"/>
      <c r="Z221" s="5"/>
      <c r="AA221" s="5"/>
    </row>
    <row r="222" spans="1:27" ht="15.75" customHeight="1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5"/>
      <c r="Y222" s="5"/>
      <c r="Z222" s="5"/>
      <c r="AA222" s="5"/>
    </row>
    <row r="223" spans="1:27" ht="15.75" customHeight="1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5"/>
      <c r="Y223" s="5"/>
      <c r="Z223" s="5"/>
      <c r="AA223" s="5"/>
    </row>
    <row r="224" spans="1:27" ht="15.75" customHeight="1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5"/>
      <c r="Y224" s="5"/>
      <c r="Z224" s="5"/>
      <c r="AA224" s="5"/>
    </row>
    <row r="225" spans="1:27" ht="15.75" customHeight="1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5"/>
      <c r="Y225" s="5"/>
      <c r="Z225" s="5"/>
      <c r="AA225" s="5"/>
    </row>
    <row r="226" spans="1:27" ht="15.75" customHeight="1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5"/>
      <c r="Y226" s="5"/>
      <c r="Z226" s="5"/>
      <c r="AA226" s="5"/>
    </row>
    <row r="227" spans="1:27" ht="15.75" customHeight="1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5"/>
      <c r="Y227" s="5"/>
      <c r="Z227" s="5"/>
      <c r="AA227" s="5"/>
    </row>
    <row r="228" spans="1:27" ht="15.75" customHeight="1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5"/>
      <c r="Y228" s="5"/>
      <c r="Z228" s="5"/>
      <c r="AA228" s="5"/>
    </row>
    <row r="229" spans="1:27" ht="15.75" customHeight="1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5"/>
      <c r="Y229" s="5"/>
      <c r="Z229" s="5"/>
      <c r="AA229" s="5"/>
    </row>
    <row r="230" spans="1:27" ht="15.75" customHeight="1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5"/>
      <c r="Y230" s="5"/>
      <c r="Z230" s="5"/>
      <c r="AA230" s="5"/>
    </row>
    <row r="231" spans="1:27" ht="15.75" customHeight="1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5"/>
      <c r="Y231" s="5"/>
      <c r="Z231" s="5"/>
      <c r="AA231" s="5"/>
    </row>
    <row r="232" spans="1:27" ht="15.75" customHeight="1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5"/>
      <c r="Y232" s="5"/>
      <c r="Z232" s="5"/>
      <c r="AA232" s="5"/>
    </row>
    <row r="233" spans="1:27" ht="15.75" customHeight="1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5"/>
      <c r="Y233" s="5"/>
      <c r="Z233" s="5"/>
      <c r="AA233" s="5"/>
    </row>
    <row r="234" spans="1:27" ht="15.75" customHeight="1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5"/>
      <c r="Y234" s="5"/>
      <c r="Z234" s="5"/>
      <c r="AA234" s="5"/>
    </row>
    <row r="235" spans="1:27" ht="15.75" customHeight="1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5"/>
      <c r="Y235" s="5"/>
      <c r="Z235" s="5"/>
      <c r="AA235" s="5"/>
    </row>
    <row r="236" spans="1:27" ht="15.75" customHeight="1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5"/>
      <c r="Y236" s="5"/>
      <c r="Z236" s="5"/>
      <c r="AA236" s="5"/>
    </row>
    <row r="237" spans="1:27" ht="15.75" customHeight="1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5"/>
      <c r="Y237" s="5"/>
      <c r="Z237" s="5"/>
      <c r="AA237" s="5"/>
    </row>
    <row r="238" spans="1:27" ht="15.75" customHeight="1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5"/>
      <c r="Y238" s="5"/>
      <c r="Z238" s="5"/>
      <c r="AA238" s="5"/>
    </row>
    <row r="239" spans="1:27" ht="15.75" customHeight="1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5"/>
      <c r="Y239" s="5"/>
      <c r="Z239" s="5"/>
      <c r="AA239" s="5"/>
    </row>
    <row r="240" spans="1:27" ht="15.75" customHeight="1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5"/>
      <c r="Y240" s="5"/>
      <c r="Z240" s="5"/>
      <c r="AA240" s="5"/>
    </row>
    <row r="241" spans="1:27" ht="15.75" customHeight="1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5"/>
      <c r="Y241" s="5"/>
      <c r="Z241" s="5"/>
      <c r="AA241" s="5"/>
    </row>
    <row r="242" spans="1:27" ht="15.75" customHeight="1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5"/>
      <c r="Y242" s="5"/>
      <c r="Z242" s="5"/>
      <c r="AA242" s="5"/>
    </row>
    <row r="243" spans="1:27" ht="15.75" customHeight="1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5"/>
      <c r="Y243" s="5"/>
      <c r="Z243" s="5"/>
      <c r="AA243" s="5"/>
    </row>
    <row r="244" spans="1:27" ht="15.75" customHeight="1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5"/>
      <c r="Y244" s="5"/>
      <c r="Z244" s="5"/>
      <c r="AA244" s="5"/>
    </row>
    <row r="245" spans="1:27" ht="15.75" customHeight="1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5"/>
      <c r="Y245" s="5"/>
      <c r="Z245" s="5"/>
      <c r="AA245" s="5"/>
    </row>
    <row r="246" spans="1:27" ht="15.75" customHeight="1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5"/>
      <c r="Y246" s="5"/>
      <c r="Z246" s="5"/>
      <c r="AA246" s="5"/>
    </row>
    <row r="247" spans="1:27" ht="15.75" customHeight="1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5"/>
      <c r="Y247" s="5"/>
      <c r="Z247" s="5"/>
      <c r="AA247" s="5"/>
    </row>
    <row r="248" spans="1:27" ht="15.75" customHeight="1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5"/>
      <c r="Y248" s="5"/>
      <c r="Z248" s="5"/>
      <c r="AA248" s="5"/>
    </row>
    <row r="249" spans="1:27" ht="15.75" customHeight="1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5"/>
      <c r="Y249" s="5"/>
      <c r="Z249" s="5"/>
      <c r="AA249" s="5"/>
    </row>
    <row r="250" spans="1:27" ht="15.75" customHeight="1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5"/>
      <c r="Y250" s="5"/>
      <c r="Z250" s="5"/>
      <c r="AA250" s="5"/>
    </row>
    <row r="251" spans="1:27" ht="15.75" customHeight="1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5"/>
      <c r="Y251" s="5"/>
      <c r="Z251" s="5"/>
      <c r="AA251" s="5"/>
    </row>
    <row r="252" spans="1:27" ht="15.75" customHeight="1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5"/>
      <c r="Y252" s="5"/>
      <c r="Z252" s="5"/>
      <c r="AA252" s="5"/>
    </row>
    <row r="253" spans="1:27" ht="15.75" customHeight="1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5"/>
      <c r="Y253" s="5"/>
      <c r="Z253" s="5"/>
      <c r="AA253" s="5"/>
    </row>
    <row r="254" spans="1:27" ht="15.75" customHeight="1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5"/>
      <c r="Y254" s="5"/>
      <c r="Z254" s="5"/>
      <c r="AA254" s="5"/>
    </row>
    <row r="255" spans="1:27" ht="15.75" customHeight="1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5"/>
      <c r="Y255" s="5"/>
      <c r="Z255" s="5"/>
      <c r="AA255" s="5"/>
    </row>
    <row r="256" spans="1:27" ht="15.75" customHeight="1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5"/>
      <c r="Y256" s="5"/>
      <c r="Z256" s="5"/>
      <c r="AA256" s="5"/>
    </row>
    <row r="257" spans="1:27" ht="15.75" customHeight="1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5"/>
      <c r="Y257" s="5"/>
      <c r="Z257" s="5"/>
      <c r="AA257" s="5"/>
    </row>
    <row r="258" spans="1:27" ht="15.75" customHeight="1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5"/>
      <c r="Y258" s="5"/>
      <c r="Z258" s="5"/>
      <c r="AA258" s="5"/>
    </row>
    <row r="259" spans="1:27" ht="15.75" customHeight="1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5"/>
      <c r="Y259" s="5"/>
      <c r="Z259" s="5"/>
      <c r="AA259" s="5"/>
    </row>
    <row r="260" spans="1:27" ht="15.75" customHeight="1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5"/>
      <c r="Y260" s="5"/>
      <c r="Z260" s="5"/>
      <c r="AA260" s="5"/>
    </row>
    <row r="261" spans="1:27" ht="15.75" customHeight="1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5"/>
      <c r="Y261" s="5"/>
      <c r="Z261" s="5"/>
      <c r="AA261" s="5"/>
    </row>
    <row r="262" spans="1:27" ht="15.75" customHeight="1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5"/>
      <c r="Y262" s="5"/>
      <c r="Z262" s="5"/>
      <c r="AA262" s="5"/>
    </row>
    <row r="263" spans="1:27" ht="15.75" customHeight="1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5"/>
      <c r="Y263" s="5"/>
      <c r="Z263" s="5"/>
      <c r="AA263" s="5"/>
    </row>
    <row r="264" spans="1:27" ht="15.75" customHeight="1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5"/>
      <c r="Y264" s="5"/>
      <c r="Z264" s="5"/>
      <c r="AA264" s="5"/>
    </row>
    <row r="265" spans="1:27" ht="15.75" customHeight="1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5"/>
      <c r="Y265" s="5"/>
      <c r="Z265" s="5"/>
      <c r="AA265" s="5"/>
    </row>
    <row r="266" spans="1:27" ht="15.75" customHeight="1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5"/>
      <c r="Y266" s="5"/>
      <c r="Z266" s="5"/>
      <c r="AA266" s="5"/>
    </row>
    <row r="267" spans="1:27" ht="15.75" customHeight="1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5"/>
      <c r="Y267" s="5"/>
      <c r="Z267" s="5"/>
      <c r="AA267" s="5"/>
    </row>
    <row r="268" spans="1:27" ht="15.75" customHeight="1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5"/>
      <c r="Y268" s="5"/>
      <c r="Z268" s="5"/>
      <c r="AA268" s="5"/>
    </row>
    <row r="269" spans="1:27" ht="15.75" customHeight="1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5"/>
      <c r="Y269" s="5"/>
      <c r="Z269" s="5"/>
      <c r="AA269" s="5"/>
    </row>
    <row r="270" spans="1:27" ht="15.75" customHeight="1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5"/>
      <c r="Y270" s="5"/>
      <c r="Z270" s="5"/>
      <c r="AA270" s="5"/>
    </row>
    <row r="271" spans="1:27" ht="15.75" customHeight="1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5"/>
      <c r="Y271" s="5"/>
      <c r="Z271" s="5"/>
      <c r="AA271" s="5"/>
    </row>
    <row r="272" spans="1:27" ht="15.75" customHeight="1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5"/>
      <c r="Y272" s="5"/>
      <c r="Z272" s="5"/>
      <c r="AA272" s="5"/>
    </row>
    <row r="273" spans="1:27" ht="15.75" customHeight="1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5"/>
      <c r="Y273" s="5"/>
      <c r="Z273" s="5"/>
      <c r="AA273" s="5"/>
    </row>
    <row r="274" spans="1:27" ht="15.75" customHeight="1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5"/>
      <c r="Y274" s="5"/>
      <c r="Z274" s="5"/>
      <c r="AA274" s="5"/>
    </row>
    <row r="275" spans="1:27" ht="15.75" customHeight="1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5"/>
      <c r="Y275" s="5"/>
      <c r="Z275" s="5"/>
      <c r="AA275" s="5"/>
    </row>
    <row r="276" spans="1:27" ht="15.75" customHeight="1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5"/>
      <c r="Y276" s="5"/>
      <c r="Z276" s="5"/>
      <c r="AA276" s="5"/>
    </row>
    <row r="277" spans="1:27" ht="15.75" customHeight="1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5"/>
      <c r="Y277" s="5"/>
      <c r="Z277" s="5"/>
      <c r="AA277" s="5"/>
    </row>
    <row r="278" spans="1:27" ht="15.75" customHeight="1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5"/>
      <c r="Y278" s="5"/>
      <c r="Z278" s="5"/>
      <c r="AA278" s="5"/>
    </row>
    <row r="279" spans="1:27" ht="15.75" customHeight="1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5"/>
      <c r="Y279" s="5"/>
      <c r="Z279" s="5"/>
      <c r="AA279" s="5"/>
    </row>
    <row r="280" spans="1:27" ht="15.75" customHeight="1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5"/>
      <c r="Y280" s="5"/>
      <c r="Z280" s="5"/>
      <c r="AA280" s="5"/>
    </row>
    <row r="281" spans="1:27" ht="15.75" customHeight="1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5"/>
      <c r="Y281" s="5"/>
      <c r="Z281" s="5"/>
      <c r="AA281" s="5"/>
    </row>
    <row r="282" spans="1:27" ht="15.75" customHeight="1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5"/>
      <c r="Y282" s="5"/>
      <c r="Z282" s="5"/>
      <c r="AA282" s="5"/>
    </row>
    <row r="283" spans="1:27" ht="15.75" customHeight="1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5"/>
      <c r="Y283" s="5"/>
      <c r="Z283" s="5"/>
      <c r="AA283" s="5"/>
    </row>
    <row r="284" spans="1:27" ht="15.75" customHeight="1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5"/>
      <c r="Y284" s="5"/>
      <c r="Z284" s="5"/>
      <c r="AA284" s="5"/>
    </row>
    <row r="285" spans="1:27" ht="15.75" customHeight="1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5"/>
      <c r="Y285" s="5"/>
      <c r="Z285" s="5"/>
      <c r="AA285" s="5"/>
    </row>
    <row r="286" spans="1:27" ht="15.75" customHeight="1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5"/>
      <c r="Y286" s="5"/>
      <c r="Z286" s="5"/>
      <c r="AA286" s="5"/>
    </row>
    <row r="287" spans="1:27" ht="15.75" customHeight="1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5"/>
      <c r="Y287" s="5"/>
      <c r="Z287" s="5"/>
      <c r="AA287" s="5"/>
    </row>
    <row r="288" spans="1:27" ht="15.75" customHeight="1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5"/>
      <c r="Y288" s="5"/>
      <c r="Z288" s="5"/>
      <c r="AA288" s="5"/>
    </row>
    <row r="289" spans="1:27" ht="15.75" customHeight="1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5"/>
      <c r="Y289" s="5"/>
      <c r="Z289" s="5"/>
      <c r="AA289" s="5"/>
    </row>
    <row r="290" spans="1:27" ht="15.75" customHeight="1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5"/>
      <c r="Y290" s="5"/>
      <c r="Z290" s="5"/>
      <c r="AA290" s="5"/>
    </row>
    <row r="291" spans="1:27" ht="15.75" customHeight="1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5"/>
      <c r="Y291" s="5"/>
      <c r="Z291" s="5"/>
      <c r="AA291" s="5"/>
    </row>
    <row r="292" spans="1:27" ht="15.75" customHeight="1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5"/>
      <c r="Y292" s="5"/>
      <c r="Z292" s="5"/>
      <c r="AA292" s="5"/>
    </row>
    <row r="293" spans="1:27" ht="15.75" customHeight="1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5"/>
      <c r="Y293" s="5"/>
      <c r="Z293" s="5"/>
      <c r="AA293" s="5"/>
    </row>
    <row r="294" spans="1:27" ht="15.75" customHeight="1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5"/>
      <c r="Y294" s="5"/>
      <c r="Z294" s="5"/>
      <c r="AA294" s="5"/>
    </row>
    <row r="295" spans="1:27" ht="15.75" customHeight="1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5"/>
      <c r="Y295" s="5"/>
      <c r="Z295" s="5"/>
      <c r="AA295" s="5"/>
    </row>
    <row r="296" spans="1:27" ht="15.75" customHeight="1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5"/>
      <c r="Y296" s="5"/>
      <c r="Z296" s="5"/>
      <c r="AA296" s="5"/>
    </row>
    <row r="297" spans="1:27" ht="15.75" customHeight="1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5"/>
      <c r="Y297" s="5"/>
      <c r="Z297" s="5"/>
      <c r="AA297" s="5"/>
    </row>
    <row r="298" spans="1:27" ht="15.75" customHeight="1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5"/>
      <c r="Y298" s="5"/>
      <c r="Z298" s="5"/>
      <c r="AA298" s="5"/>
    </row>
    <row r="299" spans="1:27" ht="15.75" customHeight="1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5"/>
      <c r="Y299" s="5"/>
      <c r="Z299" s="5"/>
      <c r="AA299" s="5"/>
    </row>
    <row r="300" spans="1:27" ht="15.75" customHeight="1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</row>
    <row r="301" spans="1:27" ht="15.75" customHeight="1" x14ac:dyDescent="0.25">
      <c r="A301" s="4"/>
      <c r="B301" s="4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</row>
    <row r="302" spans="1:27" ht="15.75" customHeight="1" x14ac:dyDescent="0.25">
      <c r="A302" s="4"/>
      <c r="B302" s="4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</row>
    <row r="303" spans="1:27" ht="15.75" customHeight="1" x14ac:dyDescent="0.25">
      <c r="A303" s="4"/>
      <c r="B303" s="4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</row>
    <row r="304" spans="1:27" ht="15.75" customHeight="1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</row>
    <row r="305" spans="1:23" ht="15.75" customHeight="1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</row>
    <row r="306" spans="1:23" ht="15.75" customHeight="1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</row>
    <row r="307" spans="1:23" ht="15.75" customHeight="1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</row>
    <row r="308" spans="1:23" ht="15.75" customHeight="1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</row>
    <row r="309" spans="1:23" ht="15.75" customHeight="1" x14ac:dyDescent="0.2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</row>
    <row r="310" spans="1:23" ht="15.75" customHeight="1" x14ac:dyDescent="0.2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</row>
    <row r="311" spans="1:23" ht="15.75" customHeight="1" x14ac:dyDescent="0.2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</row>
    <row r="312" spans="1:23" ht="15.75" customHeight="1" x14ac:dyDescent="0.2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</row>
    <row r="313" spans="1:23" ht="15.75" customHeight="1" x14ac:dyDescent="0.2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</row>
    <row r="314" spans="1:23" ht="15.75" customHeight="1" x14ac:dyDescent="0.2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</row>
    <row r="315" spans="1:23" ht="15.75" customHeight="1" x14ac:dyDescent="0.2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</row>
    <row r="316" spans="1:23" ht="15.75" customHeight="1" x14ac:dyDescent="0.2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</row>
    <row r="317" spans="1:23" ht="15.75" customHeight="1" x14ac:dyDescent="0.2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</row>
    <row r="318" spans="1:23" ht="15.75" customHeight="1" x14ac:dyDescent="0.2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</row>
    <row r="319" spans="1:23" ht="15.75" customHeight="1" x14ac:dyDescent="0.2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</row>
    <row r="320" spans="1:23" ht="15.75" customHeight="1" x14ac:dyDescent="0.2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</row>
    <row r="321" spans="1:23" ht="15.75" customHeight="1" x14ac:dyDescent="0.2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</row>
    <row r="322" spans="1:23" ht="15.75" customHeight="1" x14ac:dyDescent="0.2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</row>
    <row r="323" spans="1:23" ht="15.75" customHeight="1" x14ac:dyDescent="0.2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</row>
    <row r="324" spans="1:23" ht="15.75" customHeight="1" x14ac:dyDescent="0.2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</row>
    <row r="325" spans="1:23" ht="15.75" customHeight="1" x14ac:dyDescent="0.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</row>
    <row r="326" spans="1:23" ht="15.75" customHeight="1" x14ac:dyDescent="0.2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</row>
    <row r="327" spans="1:23" ht="15.75" customHeight="1" x14ac:dyDescent="0.2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</row>
    <row r="328" spans="1:23" ht="15.75" customHeight="1" x14ac:dyDescent="0.2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</row>
    <row r="329" spans="1:23" ht="15.75" customHeight="1" x14ac:dyDescent="0.2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</row>
    <row r="330" spans="1:23" ht="15.75" customHeight="1" x14ac:dyDescent="0.2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</row>
    <row r="331" spans="1:23" ht="15.75" customHeight="1" x14ac:dyDescent="0.2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</row>
    <row r="332" spans="1:23" ht="15.75" customHeight="1" x14ac:dyDescent="0.2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</row>
    <row r="333" spans="1:23" ht="15.75" customHeight="1" x14ac:dyDescent="0.2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</row>
    <row r="334" spans="1:23" ht="15.75" customHeight="1" x14ac:dyDescent="0.2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</row>
    <row r="335" spans="1:23" ht="15.75" customHeight="1" x14ac:dyDescent="0.2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</row>
    <row r="336" spans="1:23" ht="15.75" customHeight="1" x14ac:dyDescent="0.2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</row>
    <row r="337" spans="1:23" ht="15.75" customHeight="1" x14ac:dyDescent="0.2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</row>
    <row r="338" spans="1:23" ht="15.75" customHeight="1" x14ac:dyDescent="0.2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</row>
    <row r="339" spans="1:23" ht="15.75" customHeight="1" x14ac:dyDescent="0.2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</row>
    <row r="340" spans="1:23" ht="15.75" customHeight="1" x14ac:dyDescent="0.2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</row>
    <row r="341" spans="1:23" ht="15.75" customHeight="1" x14ac:dyDescent="0.2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</row>
    <row r="342" spans="1:23" ht="15.75" customHeight="1" x14ac:dyDescent="0.2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</row>
    <row r="343" spans="1:23" ht="15.75" customHeight="1" x14ac:dyDescent="0.2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</row>
    <row r="344" spans="1:23" ht="15.75" customHeight="1" x14ac:dyDescent="0.2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</row>
    <row r="345" spans="1:23" ht="15.75" customHeight="1" x14ac:dyDescent="0.2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</row>
    <row r="346" spans="1:23" ht="15.75" customHeight="1" x14ac:dyDescent="0.2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</row>
    <row r="347" spans="1:23" ht="15.75" customHeight="1" x14ac:dyDescent="0.2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</row>
    <row r="348" spans="1:23" ht="15.75" customHeight="1" x14ac:dyDescent="0.2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</row>
    <row r="349" spans="1:23" ht="15.75" customHeight="1" x14ac:dyDescent="0.2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</row>
    <row r="350" spans="1:23" ht="15.75" customHeight="1" x14ac:dyDescent="0.2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</row>
    <row r="351" spans="1:23" ht="15.75" customHeight="1" x14ac:dyDescent="0.2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</row>
    <row r="352" spans="1:23" ht="15.75" customHeight="1" x14ac:dyDescent="0.2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</row>
    <row r="353" spans="1:23" ht="15.75" customHeight="1" x14ac:dyDescent="0.2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</row>
    <row r="354" spans="1:23" ht="15.75" customHeight="1" x14ac:dyDescent="0.2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</row>
    <row r="355" spans="1:23" ht="15.75" customHeight="1" x14ac:dyDescent="0.2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</row>
    <row r="356" spans="1:23" ht="15.75" customHeight="1" x14ac:dyDescent="0.2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</row>
    <row r="357" spans="1:23" ht="15.75" customHeight="1" x14ac:dyDescent="0.2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</row>
    <row r="358" spans="1:23" ht="15.75" customHeight="1" x14ac:dyDescent="0.2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</row>
    <row r="359" spans="1:23" ht="15.75" customHeight="1" x14ac:dyDescent="0.2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</row>
    <row r="360" spans="1:23" ht="15.75" customHeight="1" x14ac:dyDescent="0.2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</row>
    <row r="361" spans="1:23" ht="15.75" customHeight="1" x14ac:dyDescent="0.2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</row>
    <row r="362" spans="1:23" ht="15.75" customHeight="1" x14ac:dyDescent="0.2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</row>
    <row r="363" spans="1:23" ht="15.75" customHeight="1" x14ac:dyDescent="0.2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</row>
    <row r="364" spans="1:23" ht="15.75" customHeight="1" x14ac:dyDescent="0.2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</row>
    <row r="365" spans="1:23" ht="15.75" customHeight="1" x14ac:dyDescent="0.2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</row>
    <row r="366" spans="1:23" ht="15.75" customHeight="1" x14ac:dyDescent="0.2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</row>
    <row r="367" spans="1:23" ht="15.75" customHeight="1" x14ac:dyDescent="0.2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</row>
    <row r="368" spans="1:23" ht="15.75" customHeight="1" x14ac:dyDescent="0.2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</row>
    <row r="369" spans="1:23" ht="15.75" customHeight="1" x14ac:dyDescent="0.2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</row>
    <row r="370" spans="1:23" ht="15.75" customHeight="1" x14ac:dyDescent="0.2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</row>
    <row r="371" spans="1:23" ht="15.75" customHeight="1" x14ac:dyDescent="0.2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</row>
    <row r="372" spans="1:23" ht="15.75" customHeight="1" x14ac:dyDescent="0.2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</row>
    <row r="373" spans="1:23" ht="15.75" customHeight="1" x14ac:dyDescent="0.2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</row>
    <row r="374" spans="1:23" ht="15.75" customHeight="1" x14ac:dyDescent="0.2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</row>
    <row r="375" spans="1:23" ht="15.75" customHeight="1" x14ac:dyDescent="0.2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</row>
    <row r="376" spans="1:23" ht="15.75" customHeight="1" x14ac:dyDescent="0.2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</row>
    <row r="377" spans="1:23" ht="15.75" customHeight="1" x14ac:dyDescent="0.2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</row>
    <row r="378" spans="1:23" ht="15.75" customHeight="1" x14ac:dyDescent="0.2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</row>
    <row r="379" spans="1:23" ht="15.75" customHeight="1" x14ac:dyDescent="0.2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</row>
    <row r="380" spans="1:23" ht="15.75" customHeight="1" x14ac:dyDescent="0.2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</row>
    <row r="381" spans="1:23" ht="15.75" customHeight="1" x14ac:dyDescent="0.2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</row>
    <row r="382" spans="1:23" ht="15.75" customHeight="1" x14ac:dyDescent="0.2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</row>
    <row r="383" spans="1:23" ht="15.75" customHeight="1" x14ac:dyDescent="0.2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</row>
    <row r="384" spans="1:23" ht="15.75" customHeight="1" x14ac:dyDescent="0.2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</row>
    <row r="385" spans="1:23" ht="15.75" customHeight="1" x14ac:dyDescent="0.2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</row>
    <row r="386" spans="1:23" ht="15.75" customHeight="1" x14ac:dyDescent="0.2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</row>
    <row r="387" spans="1:23" ht="15.75" customHeight="1" x14ac:dyDescent="0.2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</row>
    <row r="388" spans="1:23" ht="15.75" customHeight="1" x14ac:dyDescent="0.2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</row>
    <row r="389" spans="1:23" ht="15.75" customHeight="1" x14ac:dyDescent="0.2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</row>
    <row r="390" spans="1:23" ht="15.75" customHeight="1" x14ac:dyDescent="0.2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</row>
    <row r="391" spans="1:23" ht="15.75" customHeight="1" x14ac:dyDescent="0.2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</row>
    <row r="392" spans="1:23" ht="15.75" customHeight="1" x14ac:dyDescent="0.2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</row>
    <row r="393" spans="1:23" ht="15.75" customHeight="1" x14ac:dyDescent="0.2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</row>
    <row r="394" spans="1:23" ht="15.75" customHeight="1" x14ac:dyDescent="0.2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</row>
    <row r="395" spans="1:23" ht="15.75" customHeight="1" x14ac:dyDescent="0.2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</row>
    <row r="396" spans="1:23" ht="15.75" customHeight="1" x14ac:dyDescent="0.2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</row>
    <row r="397" spans="1:23" ht="15.75" customHeight="1" x14ac:dyDescent="0.2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</row>
    <row r="398" spans="1:23" ht="15.75" customHeight="1" x14ac:dyDescent="0.2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</row>
    <row r="399" spans="1:23" ht="15.75" customHeight="1" x14ac:dyDescent="0.2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</row>
    <row r="400" spans="1:23" ht="15.75" customHeight="1" x14ac:dyDescent="0.2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</row>
    <row r="401" spans="1:23" ht="15.75" customHeight="1" x14ac:dyDescent="0.2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</row>
    <row r="402" spans="1:23" ht="15.75" customHeight="1" x14ac:dyDescent="0.2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</row>
    <row r="403" spans="1:23" ht="15.75" customHeight="1" x14ac:dyDescent="0.2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</row>
    <row r="404" spans="1:23" ht="15.75" customHeight="1" x14ac:dyDescent="0.2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</row>
    <row r="405" spans="1:23" ht="15.75" customHeight="1" x14ac:dyDescent="0.2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</row>
    <row r="406" spans="1:23" ht="15.75" customHeight="1" x14ac:dyDescent="0.2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</row>
    <row r="407" spans="1:23" ht="15.75" customHeight="1" x14ac:dyDescent="0.2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</row>
    <row r="408" spans="1:23" ht="15.75" customHeight="1" x14ac:dyDescent="0.2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</row>
    <row r="409" spans="1:23" ht="15.75" customHeight="1" x14ac:dyDescent="0.2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</row>
    <row r="410" spans="1:23" ht="15.75" customHeight="1" x14ac:dyDescent="0.2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</row>
    <row r="411" spans="1:23" ht="15.75" customHeight="1" x14ac:dyDescent="0.2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</row>
    <row r="412" spans="1:23" ht="15.75" customHeight="1" x14ac:dyDescent="0.2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</row>
    <row r="413" spans="1:23" ht="15.75" customHeight="1" x14ac:dyDescent="0.2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</row>
    <row r="414" spans="1:23" ht="15.75" customHeight="1" x14ac:dyDescent="0.2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</row>
    <row r="415" spans="1:23" ht="15.75" customHeight="1" x14ac:dyDescent="0.2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</row>
    <row r="416" spans="1:23" ht="15.75" customHeight="1" x14ac:dyDescent="0.2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</row>
    <row r="417" spans="1:23" ht="15.75" customHeight="1" x14ac:dyDescent="0.2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</row>
    <row r="418" spans="1:23" ht="15.75" customHeight="1" x14ac:dyDescent="0.2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</row>
    <row r="419" spans="1:23" ht="15.75" customHeight="1" x14ac:dyDescent="0.2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</row>
    <row r="420" spans="1:23" ht="15.75" customHeight="1" x14ac:dyDescent="0.2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</row>
    <row r="421" spans="1:23" ht="15.75" customHeight="1" x14ac:dyDescent="0.2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</row>
    <row r="422" spans="1:23" ht="15.75" customHeight="1" x14ac:dyDescent="0.2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</row>
    <row r="423" spans="1:23" ht="15.75" customHeight="1" x14ac:dyDescent="0.2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</row>
    <row r="424" spans="1:23" ht="15.75" customHeight="1" x14ac:dyDescent="0.2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</row>
    <row r="425" spans="1:23" ht="15.75" customHeight="1" x14ac:dyDescent="0.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</row>
    <row r="426" spans="1:23" ht="15.75" customHeight="1" x14ac:dyDescent="0.2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</row>
    <row r="427" spans="1:23" ht="15.75" customHeight="1" x14ac:dyDescent="0.2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</row>
    <row r="428" spans="1:23" ht="15.75" customHeight="1" x14ac:dyDescent="0.2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</row>
    <row r="429" spans="1:23" ht="15.75" customHeight="1" x14ac:dyDescent="0.2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</row>
    <row r="430" spans="1:23" ht="15.75" customHeight="1" x14ac:dyDescent="0.2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</row>
    <row r="431" spans="1:23" ht="15.75" customHeight="1" x14ac:dyDescent="0.2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</row>
    <row r="432" spans="1:23" ht="15.75" customHeight="1" x14ac:dyDescent="0.2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</row>
    <row r="433" spans="1:23" ht="15.75" customHeight="1" x14ac:dyDescent="0.2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</row>
    <row r="434" spans="1:23" ht="15.75" customHeight="1" x14ac:dyDescent="0.2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</row>
    <row r="435" spans="1:23" ht="15.75" customHeight="1" x14ac:dyDescent="0.2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</row>
    <row r="436" spans="1:23" ht="15.75" customHeight="1" x14ac:dyDescent="0.2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</row>
    <row r="437" spans="1:23" ht="15.75" customHeight="1" x14ac:dyDescent="0.2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</row>
    <row r="438" spans="1:23" ht="15.75" customHeight="1" x14ac:dyDescent="0.2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</row>
    <row r="439" spans="1:23" ht="15.75" customHeight="1" x14ac:dyDescent="0.2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</row>
    <row r="440" spans="1:23" ht="15.75" customHeight="1" x14ac:dyDescent="0.2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</row>
    <row r="441" spans="1:23" ht="15.75" customHeight="1" x14ac:dyDescent="0.2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</row>
    <row r="442" spans="1:23" ht="15.75" customHeight="1" x14ac:dyDescent="0.2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</row>
    <row r="443" spans="1:23" ht="15.75" customHeight="1" x14ac:dyDescent="0.2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</row>
    <row r="444" spans="1:23" ht="15.75" customHeight="1" x14ac:dyDescent="0.2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</row>
    <row r="445" spans="1:23" ht="15.75" customHeight="1" x14ac:dyDescent="0.2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</row>
    <row r="446" spans="1:23" ht="15.75" customHeight="1" x14ac:dyDescent="0.2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</row>
    <row r="447" spans="1:23" ht="15.75" customHeight="1" x14ac:dyDescent="0.2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</row>
    <row r="448" spans="1:23" ht="15.75" customHeight="1" x14ac:dyDescent="0.2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</row>
    <row r="449" spans="1:23" ht="15.75" customHeight="1" x14ac:dyDescent="0.2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</row>
    <row r="450" spans="1:23" ht="15.75" customHeight="1" x14ac:dyDescent="0.2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</row>
    <row r="451" spans="1:23" ht="15.75" customHeight="1" x14ac:dyDescent="0.2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</row>
    <row r="452" spans="1:23" ht="15.75" customHeight="1" x14ac:dyDescent="0.2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</row>
    <row r="453" spans="1:23" ht="15.75" customHeight="1" x14ac:dyDescent="0.2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</row>
    <row r="454" spans="1:23" ht="15.75" customHeight="1" x14ac:dyDescent="0.2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</row>
    <row r="455" spans="1:23" ht="15.75" customHeight="1" x14ac:dyDescent="0.2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</row>
    <row r="456" spans="1:23" ht="15.75" customHeight="1" x14ac:dyDescent="0.2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</row>
    <row r="457" spans="1:23" ht="15.75" customHeight="1" x14ac:dyDescent="0.2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</row>
    <row r="458" spans="1:23" ht="15.75" customHeight="1" x14ac:dyDescent="0.2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</row>
    <row r="459" spans="1:23" ht="15.75" customHeight="1" x14ac:dyDescent="0.2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</row>
    <row r="460" spans="1:23" ht="15.75" customHeight="1" x14ac:dyDescent="0.2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</row>
    <row r="461" spans="1:23" ht="15.75" customHeight="1" x14ac:dyDescent="0.2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</row>
    <row r="462" spans="1:23" ht="15.75" customHeight="1" x14ac:dyDescent="0.2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</row>
    <row r="463" spans="1:23" ht="15.75" customHeight="1" x14ac:dyDescent="0.2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</row>
    <row r="464" spans="1:23" ht="15.75" customHeight="1" x14ac:dyDescent="0.2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</row>
    <row r="465" spans="1:23" ht="15.75" customHeight="1" x14ac:dyDescent="0.2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</row>
    <row r="466" spans="1:23" ht="15.75" customHeight="1" x14ac:dyDescent="0.2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</row>
    <row r="467" spans="1:23" ht="15.75" customHeight="1" x14ac:dyDescent="0.2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</row>
    <row r="468" spans="1:23" ht="15.75" customHeight="1" x14ac:dyDescent="0.2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</row>
    <row r="469" spans="1:23" ht="15.75" customHeight="1" x14ac:dyDescent="0.2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</row>
    <row r="470" spans="1:23" ht="15.75" customHeight="1" x14ac:dyDescent="0.2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</row>
    <row r="471" spans="1:23" ht="15.75" customHeight="1" x14ac:dyDescent="0.2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</row>
    <row r="472" spans="1:23" ht="15.75" customHeight="1" x14ac:dyDescent="0.2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</row>
    <row r="473" spans="1:23" ht="15.75" customHeight="1" x14ac:dyDescent="0.2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</row>
    <row r="474" spans="1:23" ht="15.75" customHeight="1" x14ac:dyDescent="0.2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</row>
    <row r="475" spans="1:23" ht="15.75" customHeight="1" x14ac:dyDescent="0.2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</row>
    <row r="476" spans="1:23" ht="15.75" customHeight="1" x14ac:dyDescent="0.2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</row>
    <row r="477" spans="1:23" ht="15.75" customHeight="1" x14ac:dyDescent="0.2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</row>
    <row r="478" spans="1:23" ht="15.75" customHeight="1" x14ac:dyDescent="0.2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</row>
    <row r="479" spans="1:23" ht="15.75" customHeight="1" x14ac:dyDescent="0.2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</row>
    <row r="480" spans="1:23" ht="15.75" customHeight="1" x14ac:dyDescent="0.2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</row>
    <row r="481" spans="1:23" ht="15.75" customHeight="1" x14ac:dyDescent="0.2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</row>
    <row r="482" spans="1:23" ht="15.75" customHeight="1" x14ac:dyDescent="0.2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</row>
    <row r="483" spans="1:23" ht="15.75" customHeight="1" x14ac:dyDescent="0.2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</row>
    <row r="484" spans="1:23" ht="15.75" customHeight="1" x14ac:dyDescent="0.2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</row>
    <row r="485" spans="1:23" ht="15.75" customHeight="1" x14ac:dyDescent="0.2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</row>
    <row r="486" spans="1:23" ht="15.75" customHeight="1" x14ac:dyDescent="0.2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</row>
    <row r="487" spans="1:23" ht="15.75" customHeight="1" x14ac:dyDescent="0.2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</row>
    <row r="488" spans="1:23" ht="15.75" customHeight="1" x14ac:dyDescent="0.2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</row>
    <row r="489" spans="1:23" ht="15.75" customHeight="1" x14ac:dyDescent="0.2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</row>
    <row r="490" spans="1:23" ht="15.75" customHeight="1" x14ac:dyDescent="0.2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</row>
    <row r="491" spans="1:23" ht="15.75" customHeight="1" x14ac:dyDescent="0.2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</row>
    <row r="492" spans="1:23" ht="15.75" customHeight="1" x14ac:dyDescent="0.2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</row>
    <row r="493" spans="1:23" ht="15.75" customHeight="1" x14ac:dyDescent="0.2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</row>
    <row r="494" spans="1:23" ht="15.75" customHeight="1" x14ac:dyDescent="0.2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</row>
    <row r="495" spans="1:23" ht="15.75" customHeight="1" x14ac:dyDescent="0.2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</row>
    <row r="496" spans="1:23" ht="15.75" customHeight="1" x14ac:dyDescent="0.2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</row>
    <row r="497" spans="1:23" ht="15.75" customHeight="1" x14ac:dyDescent="0.2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</row>
    <row r="498" spans="1:23" ht="15.75" customHeight="1" x14ac:dyDescent="0.2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</row>
    <row r="499" spans="1:23" ht="15.75" customHeight="1" x14ac:dyDescent="0.2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</row>
    <row r="500" spans="1:23" ht="15.75" customHeight="1" x14ac:dyDescent="0.2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</row>
    <row r="501" spans="1:23" ht="15.75" customHeight="1" x14ac:dyDescent="0.2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</row>
    <row r="502" spans="1:23" ht="15.75" customHeight="1" x14ac:dyDescent="0.2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</row>
    <row r="503" spans="1:23" ht="15.75" customHeight="1" x14ac:dyDescent="0.2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</row>
    <row r="504" spans="1:23" ht="15.75" customHeight="1" x14ac:dyDescent="0.2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</row>
    <row r="505" spans="1:23" ht="15.75" customHeight="1" x14ac:dyDescent="0.2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</row>
    <row r="506" spans="1:23" ht="15.75" customHeight="1" x14ac:dyDescent="0.2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</row>
    <row r="507" spans="1:23" ht="15.75" customHeight="1" x14ac:dyDescent="0.2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</row>
    <row r="508" spans="1:23" ht="15.75" customHeight="1" x14ac:dyDescent="0.2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</row>
    <row r="509" spans="1:23" ht="15.75" customHeight="1" x14ac:dyDescent="0.2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</row>
    <row r="510" spans="1:23" ht="15.75" customHeight="1" x14ac:dyDescent="0.2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</row>
    <row r="511" spans="1:23" ht="15.75" customHeight="1" x14ac:dyDescent="0.2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</row>
    <row r="512" spans="1:23" ht="15.75" customHeight="1" x14ac:dyDescent="0.2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</row>
    <row r="513" spans="1:23" ht="15.75" customHeight="1" x14ac:dyDescent="0.2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</row>
    <row r="514" spans="1:23" ht="15.75" customHeight="1" x14ac:dyDescent="0.2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</row>
    <row r="515" spans="1:23" ht="15.75" customHeight="1" x14ac:dyDescent="0.2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</row>
    <row r="516" spans="1:23" ht="15.75" customHeight="1" x14ac:dyDescent="0.2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</row>
    <row r="517" spans="1:23" ht="15.75" customHeight="1" x14ac:dyDescent="0.2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</row>
    <row r="518" spans="1:23" ht="15.75" customHeight="1" x14ac:dyDescent="0.2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</row>
    <row r="519" spans="1:23" ht="15.75" customHeight="1" x14ac:dyDescent="0.2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</row>
    <row r="520" spans="1:23" ht="15.75" customHeight="1" x14ac:dyDescent="0.2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</row>
    <row r="521" spans="1:23" ht="15.75" customHeight="1" x14ac:dyDescent="0.2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</row>
    <row r="522" spans="1:23" ht="15.75" customHeight="1" x14ac:dyDescent="0.2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</row>
    <row r="523" spans="1:23" ht="15.75" customHeight="1" x14ac:dyDescent="0.2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</row>
    <row r="524" spans="1:23" ht="15.75" customHeight="1" x14ac:dyDescent="0.2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</row>
    <row r="525" spans="1:23" ht="15.75" customHeight="1" x14ac:dyDescent="0.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</row>
    <row r="526" spans="1:23" ht="15.75" customHeight="1" x14ac:dyDescent="0.2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</row>
    <row r="527" spans="1:23" ht="15.75" customHeight="1" x14ac:dyDescent="0.2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</row>
    <row r="528" spans="1:23" ht="15.75" customHeight="1" x14ac:dyDescent="0.2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</row>
    <row r="529" spans="1:23" ht="15.75" customHeight="1" x14ac:dyDescent="0.2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</row>
    <row r="530" spans="1:23" ht="15.75" customHeight="1" x14ac:dyDescent="0.2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</row>
    <row r="531" spans="1:23" ht="15.75" customHeight="1" x14ac:dyDescent="0.2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</row>
    <row r="532" spans="1:23" ht="15.75" customHeight="1" x14ac:dyDescent="0.2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</row>
    <row r="533" spans="1:23" ht="15.75" customHeight="1" x14ac:dyDescent="0.2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</row>
    <row r="534" spans="1:23" ht="15.75" customHeight="1" x14ac:dyDescent="0.2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</row>
    <row r="535" spans="1:23" ht="15.75" customHeight="1" x14ac:dyDescent="0.2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</row>
    <row r="536" spans="1:23" ht="15.75" customHeight="1" x14ac:dyDescent="0.2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</row>
    <row r="537" spans="1:23" ht="15.75" customHeight="1" x14ac:dyDescent="0.2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</row>
    <row r="538" spans="1:23" ht="15.75" customHeight="1" x14ac:dyDescent="0.2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</row>
    <row r="539" spans="1:23" ht="15.75" customHeight="1" x14ac:dyDescent="0.2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</row>
    <row r="540" spans="1:23" ht="15.75" customHeight="1" x14ac:dyDescent="0.2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</row>
    <row r="541" spans="1:23" ht="15.75" customHeight="1" x14ac:dyDescent="0.2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</row>
    <row r="542" spans="1:23" ht="15.75" customHeight="1" x14ac:dyDescent="0.2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</row>
    <row r="543" spans="1:23" ht="15.75" customHeight="1" x14ac:dyDescent="0.2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</row>
    <row r="544" spans="1:23" ht="15.75" customHeight="1" x14ac:dyDescent="0.2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</row>
    <row r="545" spans="1:23" ht="15.75" customHeight="1" x14ac:dyDescent="0.2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</row>
    <row r="546" spans="1:23" ht="15.75" customHeight="1" x14ac:dyDescent="0.2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</row>
    <row r="547" spans="1:23" ht="15.75" customHeight="1" x14ac:dyDescent="0.2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</row>
    <row r="548" spans="1:23" ht="15.75" customHeight="1" x14ac:dyDescent="0.2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</row>
    <row r="549" spans="1:23" ht="15.75" customHeight="1" x14ac:dyDescent="0.2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</row>
    <row r="550" spans="1:23" ht="15.75" customHeight="1" x14ac:dyDescent="0.2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</row>
    <row r="551" spans="1:23" ht="15.75" customHeight="1" x14ac:dyDescent="0.2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</row>
    <row r="552" spans="1:23" ht="15.75" customHeight="1" x14ac:dyDescent="0.2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</row>
    <row r="553" spans="1:23" ht="15.75" customHeight="1" x14ac:dyDescent="0.2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</row>
    <row r="554" spans="1:23" ht="15.75" customHeight="1" x14ac:dyDescent="0.2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</row>
    <row r="555" spans="1:23" ht="15.75" customHeight="1" x14ac:dyDescent="0.2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</row>
    <row r="556" spans="1:23" ht="15.75" customHeight="1" x14ac:dyDescent="0.2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</row>
    <row r="557" spans="1:23" ht="15.75" customHeight="1" x14ac:dyDescent="0.2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</row>
    <row r="558" spans="1:23" ht="15.75" customHeight="1" x14ac:dyDescent="0.2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</row>
    <row r="559" spans="1:23" ht="15.75" customHeight="1" x14ac:dyDescent="0.2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</row>
    <row r="560" spans="1:23" ht="15.75" customHeight="1" x14ac:dyDescent="0.2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</row>
    <row r="561" spans="1:23" ht="15.75" customHeight="1" x14ac:dyDescent="0.2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</row>
    <row r="562" spans="1:23" ht="15.75" customHeight="1" x14ac:dyDescent="0.2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</row>
    <row r="563" spans="1:23" ht="15.75" customHeight="1" x14ac:dyDescent="0.2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</row>
    <row r="564" spans="1:23" ht="15.75" customHeight="1" x14ac:dyDescent="0.2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</row>
    <row r="565" spans="1:23" ht="15.75" customHeight="1" x14ac:dyDescent="0.2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</row>
    <row r="566" spans="1:23" ht="15.75" customHeight="1" x14ac:dyDescent="0.2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</row>
    <row r="567" spans="1:23" ht="15.75" customHeight="1" x14ac:dyDescent="0.2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</row>
    <row r="568" spans="1:23" ht="15.75" customHeight="1" x14ac:dyDescent="0.2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</row>
    <row r="569" spans="1:23" ht="15.75" customHeight="1" x14ac:dyDescent="0.2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</row>
    <row r="570" spans="1:23" ht="15.75" customHeight="1" x14ac:dyDescent="0.2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</row>
    <row r="571" spans="1:23" ht="15.75" customHeight="1" x14ac:dyDescent="0.2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</row>
    <row r="572" spans="1:23" ht="15.75" customHeight="1" x14ac:dyDescent="0.2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</row>
    <row r="573" spans="1:23" ht="15.75" customHeight="1" x14ac:dyDescent="0.2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</row>
    <row r="574" spans="1:23" ht="15.75" customHeight="1" x14ac:dyDescent="0.2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</row>
    <row r="575" spans="1:23" ht="15.75" customHeight="1" x14ac:dyDescent="0.2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</row>
    <row r="576" spans="1:23" ht="15.75" customHeight="1" x14ac:dyDescent="0.2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</row>
    <row r="577" spans="1:23" ht="15.75" customHeight="1" x14ac:dyDescent="0.2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</row>
    <row r="578" spans="1:23" ht="15.75" customHeight="1" x14ac:dyDescent="0.2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</row>
    <row r="579" spans="1:23" ht="15.75" customHeight="1" x14ac:dyDescent="0.2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</row>
    <row r="580" spans="1:23" ht="15.75" customHeight="1" x14ac:dyDescent="0.2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</row>
    <row r="581" spans="1:23" ht="15.75" customHeight="1" x14ac:dyDescent="0.2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</row>
    <row r="582" spans="1:23" ht="15.75" customHeight="1" x14ac:dyDescent="0.2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</row>
    <row r="583" spans="1:23" ht="15.75" customHeight="1" x14ac:dyDescent="0.2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</row>
    <row r="584" spans="1:23" ht="15.75" customHeight="1" x14ac:dyDescent="0.2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</row>
    <row r="585" spans="1:23" ht="15.75" customHeight="1" x14ac:dyDescent="0.2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</row>
    <row r="586" spans="1:23" ht="15.75" customHeight="1" x14ac:dyDescent="0.2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</row>
    <row r="587" spans="1:23" ht="15.75" customHeight="1" x14ac:dyDescent="0.2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</row>
    <row r="588" spans="1:23" ht="15.75" customHeight="1" x14ac:dyDescent="0.2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</row>
    <row r="589" spans="1:23" ht="15.75" customHeight="1" x14ac:dyDescent="0.2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</row>
    <row r="590" spans="1:23" ht="15.75" customHeight="1" x14ac:dyDescent="0.2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</row>
    <row r="591" spans="1:23" ht="15.75" customHeight="1" x14ac:dyDescent="0.2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</row>
    <row r="592" spans="1:23" ht="15.75" customHeight="1" x14ac:dyDescent="0.2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</row>
    <row r="593" spans="1:23" ht="15.75" customHeight="1" x14ac:dyDescent="0.2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</row>
    <row r="594" spans="1:23" ht="15.75" customHeight="1" x14ac:dyDescent="0.2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</row>
    <row r="595" spans="1:23" ht="15.75" customHeight="1" x14ac:dyDescent="0.2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</row>
    <row r="596" spans="1:23" ht="15.75" customHeight="1" x14ac:dyDescent="0.2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</row>
    <row r="597" spans="1:23" ht="15.75" customHeight="1" x14ac:dyDescent="0.2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</row>
    <row r="598" spans="1:23" ht="15.75" customHeight="1" x14ac:dyDescent="0.2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</row>
    <row r="599" spans="1:23" ht="15.75" customHeight="1" x14ac:dyDescent="0.2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</row>
    <row r="600" spans="1:23" ht="15.75" customHeight="1" x14ac:dyDescent="0.2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</row>
    <row r="601" spans="1:23" ht="15.75" customHeight="1" x14ac:dyDescent="0.2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</row>
    <row r="602" spans="1:23" ht="15.75" customHeight="1" x14ac:dyDescent="0.2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</row>
    <row r="603" spans="1:23" ht="15.75" customHeight="1" x14ac:dyDescent="0.2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</row>
    <row r="604" spans="1:23" ht="15.75" customHeight="1" x14ac:dyDescent="0.2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</row>
    <row r="605" spans="1:23" ht="15.75" customHeight="1" x14ac:dyDescent="0.2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</row>
    <row r="606" spans="1:23" ht="15.75" customHeight="1" x14ac:dyDescent="0.2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</row>
    <row r="607" spans="1:23" ht="15.75" customHeight="1" x14ac:dyDescent="0.2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</row>
    <row r="608" spans="1:23" ht="15.75" customHeight="1" x14ac:dyDescent="0.2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</row>
    <row r="609" spans="1:23" ht="15.75" customHeight="1" x14ac:dyDescent="0.2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</row>
    <row r="610" spans="1:23" ht="15.75" customHeight="1" x14ac:dyDescent="0.2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</row>
    <row r="611" spans="1:23" ht="15.75" customHeight="1" x14ac:dyDescent="0.2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</row>
    <row r="612" spans="1:23" ht="15.75" customHeight="1" x14ac:dyDescent="0.2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</row>
    <row r="613" spans="1:23" ht="15.75" customHeight="1" x14ac:dyDescent="0.2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</row>
    <row r="614" spans="1:23" ht="15.75" customHeight="1" x14ac:dyDescent="0.2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</row>
    <row r="615" spans="1:23" ht="15.75" customHeight="1" x14ac:dyDescent="0.2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</row>
    <row r="616" spans="1:23" ht="15.75" customHeight="1" x14ac:dyDescent="0.2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</row>
    <row r="617" spans="1:23" ht="15.75" customHeight="1" x14ac:dyDescent="0.2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</row>
    <row r="618" spans="1:23" ht="15.75" customHeight="1" x14ac:dyDescent="0.2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</row>
    <row r="619" spans="1:23" ht="15.75" customHeight="1" x14ac:dyDescent="0.2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</row>
    <row r="620" spans="1:23" ht="15.75" customHeight="1" x14ac:dyDescent="0.2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</row>
    <row r="621" spans="1:23" ht="15.75" customHeight="1" x14ac:dyDescent="0.2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</row>
    <row r="622" spans="1:23" ht="15.75" customHeight="1" x14ac:dyDescent="0.2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</row>
    <row r="623" spans="1:23" ht="15.75" customHeight="1" x14ac:dyDescent="0.2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</row>
    <row r="624" spans="1:23" ht="15.75" customHeight="1" x14ac:dyDescent="0.2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</row>
    <row r="625" spans="1:23" ht="15.75" customHeight="1" x14ac:dyDescent="0.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</row>
    <row r="626" spans="1:23" ht="15.75" customHeight="1" x14ac:dyDescent="0.2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</row>
    <row r="627" spans="1:23" ht="15.75" customHeight="1" x14ac:dyDescent="0.2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</row>
    <row r="628" spans="1:23" ht="15.75" customHeight="1" x14ac:dyDescent="0.2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</row>
    <row r="629" spans="1:23" ht="15.75" customHeight="1" x14ac:dyDescent="0.2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</row>
    <row r="630" spans="1:23" ht="15.75" customHeight="1" x14ac:dyDescent="0.2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</row>
    <row r="631" spans="1:23" ht="15.75" customHeight="1" x14ac:dyDescent="0.2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</row>
    <row r="632" spans="1:23" ht="15.75" customHeight="1" x14ac:dyDescent="0.2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</row>
    <row r="633" spans="1:23" ht="15.75" customHeight="1" x14ac:dyDescent="0.2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</row>
    <row r="634" spans="1:23" ht="15.75" customHeight="1" x14ac:dyDescent="0.2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</row>
    <row r="635" spans="1:23" ht="15.75" customHeight="1" x14ac:dyDescent="0.2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</row>
    <row r="636" spans="1:23" ht="15.75" customHeight="1" x14ac:dyDescent="0.2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</row>
    <row r="637" spans="1:23" ht="15.75" customHeight="1" x14ac:dyDescent="0.2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</row>
    <row r="638" spans="1:23" ht="15.75" customHeight="1" x14ac:dyDescent="0.2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</row>
    <row r="639" spans="1:23" ht="15.75" customHeight="1" x14ac:dyDescent="0.2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</row>
    <row r="640" spans="1:23" ht="15.75" customHeight="1" x14ac:dyDescent="0.2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</row>
    <row r="641" spans="1:23" ht="15.75" customHeight="1" x14ac:dyDescent="0.2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</row>
    <row r="642" spans="1:23" ht="15.75" customHeight="1" x14ac:dyDescent="0.2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</row>
    <row r="643" spans="1:23" ht="15.75" customHeight="1" x14ac:dyDescent="0.2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</row>
    <row r="644" spans="1:23" ht="15.75" customHeight="1" x14ac:dyDescent="0.2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</row>
    <row r="645" spans="1:23" ht="15.75" customHeight="1" x14ac:dyDescent="0.2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</row>
    <row r="646" spans="1:23" ht="15.75" customHeight="1" x14ac:dyDescent="0.2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</row>
    <row r="647" spans="1:23" ht="15.75" customHeight="1" x14ac:dyDescent="0.2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</row>
    <row r="648" spans="1:23" ht="15.75" customHeight="1" x14ac:dyDescent="0.2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</row>
    <row r="649" spans="1:23" ht="15.75" customHeight="1" x14ac:dyDescent="0.2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</row>
    <row r="650" spans="1:23" ht="15.75" customHeight="1" x14ac:dyDescent="0.2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</row>
    <row r="651" spans="1:23" ht="15.75" customHeight="1" x14ac:dyDescent="0.2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</row>
    <row r="652" spans="1:23" ht="15.75" customHeight="1" x14ac:dyDescent="0.2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</row>
    <row r="653" spans="1:23" ht="15.75" customHeight="1" x14ac:dyDescent="0.2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</row>
    <row r="654" spans="1:23" ht="15.75" customHeight="1" x14ac:dyDescent="0.2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</row>
    <row r="655" spans="1:23" ht="15.75" customHeight="1" x14ac:dyDescent="0.2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</row>
    <row r="656" spans="1:23" ht="15.75" customHeight="1" x14ac:dyDescent="0.2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</row>
    <row r="657" spans="1:23" ht="15.75" customHeight="1" x14ac:dyDescent="0.2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</row>
    <row r="658" spans="1:23" ht="15.75" customHeight="1" x14ac:dyDescent="0.2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</row>
    <row r="659" spans="1:23" ht="15.75" customHeight="1" x14ac:dyDescent="0.2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</row>
    <row r="660" spans="1:23" ht="15.75" customHeight="1" x14ac:dyDescent="0.2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</row>
    <row r="661" spans="1:23" ht="15.75" customHeight="1" x14ac:dyDescent="0.2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</row>
    <row r="662" spans="1:23" ht="15.75" customHeight="1" x14ac:dyDescent="0.2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</row>
    <row r="663" spans="1:23" ht="15.75" customHeight="1" x14ac:dyDescent="0.2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</row>
    <row r="664" spans="1:23" ht="15.75" customHeight="1" x14ac:dyDescent="0.2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</row>
    <row r="665" spans="1:23" ht="15.75" customHeight="1" x14ac:dyDescent="0.2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</row>
    <row r="666" spans="1:23" ht="15.75" customHeight="1" x14ac:dyDescent="0.2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</row>
    <row r="667" spans="1:23" ht="15.75" customHeight="1" x14ac:dyDescent="0.2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</row>
    <row r="668" spans="1:23" ht="15.75" customHeight="1" x14ac:dyDescent="0.2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</row>
    <row r="669" spans="1:23" ht="15.75" customHeight="1" x14ac:dyDescent="0.2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</row>
    <row r="670" spans="1:23" ht="15.75" customHeight="1" x14ac:dyDescent="0.2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</row>
    <row r="671" spans="1:23" ht="15.75" customHeight="1" x14ac:dyDescent="0.2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</row>
    <row r="672" spans="1:23" ht="15.75" customHeight="1" x14ac:dyDescent="0.2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</row>
    <row r="673" spans="1:23" ht="15.75" customHeight="1" x14ac:dyDescent="0.2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</row>
    <row r="674" spans="1:23" ht="15.75" customHeight="1" x14ac:dyDescent="0.2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</row>
    <row r="675" spans="1:23" ht="15.75" customHeight="1" x14ac:dyDescent="0.2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</row>
    <row r="676" spans="1:23" ht="15.75" customHeight="1" x14ac:dyDescent="0.2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</row>
    <row r="677" spans="1:23" ht="15.75" customHeight="1" x14ac:dyDescent="0.2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</row>
    <row r="678" spans="1:23" ht="15.75" customHeight="1" x14ac:dyDescent="0.2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</row>
    <row r="679" spans="1:23" ht="15.75" customHeight="1" x14ac:dyDescent="0.2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</row>
    <row r="680" spans="1:23" ht="15.75" customHeight="1" x14ac:dyDescent="0.2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</row>
    <row r="681" spans="1:23" ht="15.75" customHeight="1" x14ac:dyDescent="0.2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</row>
    <row r="682" spans="1:23" ht="15.75" customHeight="1" x14ac:dyDescent="0.2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</row>
    <row r="683" spans="1:23" ht="15.75" customHeight="1" x14ac:dyDescent="0.2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</row>
    <row r="684" spans="1:23" ht="15.75" customHeight="1" x14ac:dyDescent="0.2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</row>
    <row r="685" spans="1:23" ht="15.75" customHeight="1" x14ac:dyDescent="0.2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</row>
    <row r="686" spans="1:23" ht="15.75" customHeight="1" x14ac:dyDescent="0.2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</row>
    <row r="687" spans="1:23" ht="15.75" customHeight="1" x14ac:dyDescent="0.2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</row>
    <row r="688" spans="1:23" ht="15.75" customHeight="1" x14ac:dyDescent="0.2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</row>
    <row r="689" spans="1:23" ht="15.75" customHeight="1" x14ac:dyDescent="0.2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</row>
    <row r="690" spans="1:23" ht="15.75" customHeight="1" x14ac:dyDescent="0.2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</row>
    <row r="691" spans="1:23" ht="15.75" customHeight="1" x14ac:dyDescent="0.2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</row>
    <row r="692" spans="1:23" ht="15.75" customHeight="1" x14ac:dyDescent="0.2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</row>
    <row r="693" spans="1:23" ht="15.75" customHeight="1" x14ac:dyDescent="0.2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</row>
    <row r="694" spans="1:23" ht="15.75" customHeight="1" x14ac:dyDescent="0.2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</row>
    <row r="695" spans="1:23" ht="15.75" customHeight="1" x14ac:dyDescent="0.2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</row>
    <row r="696" spans="1:23" ht="15.75" customHeight="1" x14ac:dyDescent="0.2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</row>
    <row r="697" spans="1:23" ht="15.75" customHeight="1" x14ac:dyDescent="0.2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</row>
    <row r="698" spans="1:23" ht="15.75" customHeight="1" x14ac:dyDescent="0.2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</row>
    <row r="699" spans="1:23" ht="15.75" customHeight="1" x14ac:dyDescent="0.2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</row>
    <row r="700" spans="1:23" ht="15.75" customHeight="1" x14ac:dyDescent="0.2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</row>
    <row r="701" spans="1:23" ht="15.75" customHeight="1" x14ac:dyDescent="0.2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</row>
    <row r="702" spans="1:23" ht="15.75" customHeight="1" x14ac:dyDescent="0.2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</row>
    <row r="703" spans="1:23" ht="15.75" customHeight="1" x14ac:dyDescent="0.2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</row>
    <row r="704" spans="1:23" ht="15.75" customHeight="1" x14ac:dyDescent="0.2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</row>
    <row r="705" spans="1:23" ht="15.75" customHeight="1" x14ac:dyDescent="0.2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</row>
    <row r="706" spans="1:23" ht="15.75" customHeight="1" x14ac:dyDescent="0.2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</row>
    <row r="707" spans="1:23" ht="15.75" customHeight="1" x14ac:dyDescent="0.2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</row>
    <row r="708" spans="1:23" ht="15.75" customHeight="1" x14ac:dyDescent="0.2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</row>
    <row r="709" spans="1:23" ht="15.75" customHeight="1" x14ac:dyDescent="0.2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</row>
    <row r="710" spans="1:23" ht="15.75" customHeight="1" x14ac:dyDescent="0.2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</row>
    <row r="711" spans="1:23" ht="15.75" customHeight="1" x14ac:dyDescent="0.2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</row>
    <row r="712" spans="1:23" ht="15.75" customHeight="1" x14ac:dyDescent="0.2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</row>
    <row r="713" spans="1:23" ht="15.75" customHeight="1" x14ac:dyDescent="0.2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</row>
    <row r="714" spans="1:23" ht="15.75" customHeight="1" x14ac:dyDescent="0.2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</row>
    <row r="715" spans="1:23" ht="15.75" customHeight="1" x14ac:dyDescent="0.2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</row>
    <row r="716" spans="1:23" ht="15.75" customHeight="1" x14ac:dyDescent="0.2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</row>
    <row r="717" spans="1:23" ht="15.75" customHeight="1" x14ac:dyDescent="0.2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</row>
    <row r="718" spans="1:23" ht="15.75" customHeight="1" x14ac:dyDescent="0.2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</row>
    <row r="719" spans="1:23" ht="15.75" customHeight="1" x14ac:dyDescent="0.2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</row>
    <row r="720" spans="1:23" ht="15.75" customHeight="1" x14ac:dyDescent="0.2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</row>
    <row r="721" spans="1:23" ht="15.75" customHeight="1" x14ac:dyDescent="0.2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</row>
    <row r="722" spans="1:23" ht="15.75" customHeight="1" x14ac:dyDescent="0.2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</row>
    <row r="723" spans="1:23" ht="15.75" customHeight="1" x14ac:dyDescent="0.2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</row>
    <row r="724" spans="1:23" ht="15.75" customHeight="1" x14ac:dyDescent="0.2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</row>
    <row r="725" spans="1:23" ht="15.75" customHeight="1" x14ac:dyDescent="0.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</row>
    <row r="726" spans="1:23" ht="15.75" customHeight="1" x14ac:dyDescent="0.2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</row>
    <row r="727" spans="1:23" ht="15.75" customHeight="1" x14ac:dyDescent="0.2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</row>
    <row r="728" spans="1:23" ht="15.75" customHeight="1" x14ac:dyDescent="0.2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</row>
    <row r="729" spans="1:23" ht="15.75" customHeight="1" x14ac:dyDescent="0.2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</row>
    <row r="730" spans="1:23" ht="15.75" customHeight="1" x14ac:dyDescent="0.2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</row>
    <row r="731" spans="1:23" ht="15.75" customHeight="1" x14ac:dyDescent="0.2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</row>
    <row r="732" spans="1:23" ht="15.75" customHeight="1" x14ac:dyDescent="0.2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</row>
    <row r="733" spans="1:23" ht="15.75" customHeight="1" x14ac:dyDescent="0.2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</row>
    <row r="734" spans="1:23" ht="15.75" customHeight="1" x14ac:dyDescent="0.2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</row>
    <row r="735" spans="1:23" ht="15.75" customHeight="1" x14ac:dyDescent="0.2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</row>
    <row r="736" spans="1:23" ht="15.75" customHeight="1" x14ac:dyDescent="0.2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</row>
    <row r="737" spans="1:23" ht="15.75" customHeight="1" x14ac:dyDescent="0.2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</row>
    <row r="738" spans="1:23" ht="15.75" customHeight="1" x14ac:dyDescent="0.2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</row>
    <row r="739" spans="1:23" ht="15.75" customHeight="1" x14ac:dyDescent="0.2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</row>
    <row r="740" spans="1:23" ht="15.75" customHeight="1" x14ac:dyDescent="0.2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</row>
    <row r="741" spans="1:23" ht="15.75" customHeight="1" x14ac:dyDescent="0.2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</row>
    <row r="742" spans="1:23" ht="15.75" customHeight="1" x14ac:dyDescent="0.2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</row>
    <row r="743" spans="1:23" ht="15.75" customHeight="1" x14ac:dyDescent="0.2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</row>
    <row r="744" spans="1:23" ht="15.75" customHeight="1" x14ac:dyDescent="0.2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</row>
    <row r="745" spans="1:23" ht="15.75" customHeight="1" x14ac:dyDescent="0.2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</row>
    <row r="746" spans="1:23" ht="15.75" customHeight="1" x14ac:dyDescent="0.2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</row>
    <row r="747" spans="1:23" ht="15.75" customHeight="1" x14ac:dyDescent="0.2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</row>
    <row r="748" spans="1:23" ht="15.75" customHeight="1" x14ac:dyDescent="0.2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</row>
    <row r="749" spans="1:23" ht="15.75" customHeight="1" x14ac:dyDescent="0.2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</row>
    <row r="750" spans="1:23" ht="15.75" customHeight="1" x14ac:dyDescent="0.2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</row>
    <row r="751" spans="1:23" ht="15.75" customHeight="1" x14ac:dyDescent="0.2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</row>
    <row r="752" spans="1:23" ht="15.75" customHeight="1" x14ac:dyDescent="0.2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</row>
    <row r="753" spans="1:23" ht="15.75" customHeight="1" x14ac:dyDescent="0.2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</row>
    <row r="754" spans="1:23" ht="15.75" customHeight="1" x14ac:dyDescent="0.2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</row>
    <row r="755" spans="1:23" ht="15.75" customHeight="1" x14ac:dyDescent="0.2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</row>
    <row r="756" spans="1:23" ht="15.75" customHeight="1" x14ac:dyDescent="0.2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</row>
    <row r="757" spans="1:23" ht="15.75" customHeight="1" x14ac:dyDescent="0.2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</row>
    <row r="758" spans="1:23" ht="15.75" customHeight="1" x14ac:dyDescent="0.2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</row>
    <row r="759" spans="1:23" ht="15.75" customHeight="1" x14ac:dyDescent="0.2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</row>
    <row r="760" spans="1:23" ht="15.75" customHeight="1" x14ac:dyDescent="0.2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</row>
    <row r="761" spans="1:23" ht="15.75" customHeight="1" x14ac:dyDescent="0.2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</row>
    <row r="762" spans="1:23" ht="15.75" customHeight="1" x14ac:dyDescent="0.2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</row>
    <row r="763" spans="1:23" ht="15.75" customHeight="1" x14ac:dyDescent="0.2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</row>
    <row r="764" spans="1:23" ht="15.75" customHeight="1" x14ac:dyDescent="0.2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</row>
    <row r="765" spans="1:23" ht="15.75" customHeight="1" x14ac:dyDescent="0.2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</row>
    <row r="766" spans="1:23" ht="15.75" customHeight="1" x14ac:dyDescent="0.2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</row>
    <row r="767" spans="1:23" ht="15.75" customHeight="1" x14ac:dyDescent="0.2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</row>
    <row r="768" spans="1:23" ht="15.75" customHeight="1" x14ac:dyDescent="0.2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</row>
    <row r="769" spans="1:23" ht="15.75" customHeight="1" x14ac:dyDescent="0.2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</row>
    <row r="770" spans="1:23" ht="15.75" customHeight="1" x14ac:dyDescent="0.2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</row>
    <row r="771" spans="1:23" ht="15.75" customHeight="1" x14ac:dyDescent="0.2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</row>
    <row r="772" spans="1:23" ht="15.75" customHeight="1" x14ac:dyDescent="0.2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</row>
    <row r="773" spans="1:23" ht="15.75" customHeight="1" x14ac:dyDescent="0.2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</row>
    <row r="774" spans="1:23" ht="15.75" customHeight="1" x14ac:dyDescent="0.2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</row>
    <row r="775" spans="1:23" ht="15.75" customHeight="1" x14ac:dyDescent="0.2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</row>
    <row r="776" spans="1:23" ht="15.75" customHeight="1" x14ac:dyDescent="0.2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</row>
    <row r="777" spans="1:23" ht="15.75" customHeight="1" x14ac:dyDescent="0.2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</row>
    <row r="778" spans="1:23" ht="15.75" customHeight="1" x14ac:dyDescent="0.2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</row>
    <row r="779" spans="1:23" ht="15.75" customHeight="1" x14ac:dyDescent="0.2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</row>
    <row r="780" spans="1:23" ht="15.75" customHeight="1" x14ac:dyDescent="0.2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</row>
    <row r="781" spans="1:23" ht="15.75" customHeight="1" x14ac:dyDescent="0.2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</row>
    <row r="782" spans="1:23" ht="15.75" customHeight="1" x14ac:dyDescent="0.2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</row>
    <row r="783" spans="1:23" ht="15.75" customHeight="1" x14ac:dyDescent="0.2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</row>
    <row r="784" spans="1:23" ht="15.75" customHeight="1" x14ac:dyDescent="0.2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</row>
    <row r="785" spans="1:23" ht="15.75" customHeight="1" x14ac:dyDescent="0.2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</row>
    <row r="786" spans="1:23" ht="15.75" customHeight="1" x14ac:dyDescent="0.2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</row>
    <row r="787" spans="1:23" ht="15.75" customHeight="1" x14ac:dyDescent="0.2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</row>
    <row r="788" spans="1:23" ht="15.75" customHeight="1" x14ac:dyDescent="0.2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</row>
    <row r="789" spans="1:23" ht="15.75" customHeight="1" x14ac:dyDescent="0.2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</row>
    <row r="790" spans="1:23" ht="15.75" customHeight="1" x14ac:dyDescent="0.2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</row>
    <row r="791" spans="1:23" ht="15.75" customHeight="1" x14ac:dyDescent="0.2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</row>
    <row r="792" spans="1:23" ht="15.75" customHeight="1" x14ac:dyDescent="0.2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</row>
    <row r="793" spans="1:23" ht="15.75" customHeight="1" x14ac:dyDescent="0.2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</row>
    <row r="794" spans="1:23" ht="15.75" customHeight="1" x14ac:dyDescent="0.2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</row>
    <row r="795" spans="1:23" ht="15.75" customHeight="1" x14ac:dyDescent="0.2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</row>
    <row r="796" spans="1:23" ht="15.75" customHeight="1" x14ac:dyDescent="0.2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</row>
    <row r="797" spans="1:23" ht="15.75" customHeight="1" x14ac:dyDescent="0.2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</row>
    <row r="798" spans="1:23" ht="15.75" customHeight="1" x14ac:dyDescent="0.2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</row>
    <row r="799" spans="1:23" ht="15.75" customHeight="1" x14ac:dyDescent="0.2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</row>
    <row r="800" spans="1:23" ht="15.75" customHeight="1" x14ac:dyDescent="0.2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</row>
    <row r="801" spans="1:23" ht="15.75" customHeight="1" x14ac:dyDescent="0.2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</row>
    <row r="802" spans="1:23" ht="15.75" customHeight="1" x14ac:dyDescent="0.2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</row>
    <row r="803" spans="1:23" ht="15.75" customHeight="1" x14ac:dyDescent="0.2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</row>
    <row r="804" spans="1:23" ht="15.75" customHeight="1" x14ac:dyDescent="0.2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</row>
    <row r="805" spans="1:23" ht="15.75" customHeight="1" x14ac:dyDescent="0.2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</row>
    <row r="806" spans="1:23" ht="15.75" customHeight="1" x14ac:dyDescent="0.2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</row>
    <row r="807" spans="1:23" ht="15.75" customHeight="1" x14ac:dyDescent="0.2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</row>
    <row r="808" spans="1:23" ht="15.75" customHeight="1" x14ac:dyDescent="0.2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</row>
    <row r="809" spans="1:23" ht="15.75" customHeight="1" x14ac:dyDescent="0.2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</row>
    <row r="810" spans="1:23" ht="15.75" customHeight="1" x14ac:dyDescent="0.2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</row>
    <row r="811" spans="1:23" ht="15.75" customHeight="1" x14ac:dyDescent="0.2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</row>
    <row r="812" spans="1:23" ht="15.75" customHeight="1" x14ac:dyDescent="0.2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</row>
    <row r="813" spans="1:23" ht="15.75" customHeight="1" x14ac:dyDescent="0.2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</row>
    <row r="814" spans="1:23" ht="15.75" customHeight="1" x14ac:dyDescent="0.2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</row>
    <row r="815" spans="1:23" ht="15.75" customHeight="1" x14ac:dyDescent="0.2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</row>
    <row r="816" spans="1:23" ht="15.75" customHeight="1" x14ac:dyDescent="0.2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</row>
    <row r="817" spans="1:23" ht="15.75" customHeight="1" x14ac:dyDescent="0.2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</row>
    <row r="818" spans="1:23" ht="15.75" customHeight="1" x14ac:dyDescent="0.2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</row>
    <row r="819" spans="1:23" ht="15.75" customHeight="1" x14ac:dyDescent="0.2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</row>
    <row r="820" spans="1:23" ht="15.75" customHeight="1" x14ac:dyDescent="0.2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</row>
    <row r="821" spans="1:23" ht="15.75" customHeight="1" x14ac:dyDescent="0.2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</row>
    <row r="822" spans="1:23" ht="15.75" customHeight="1" x14ac:dyDescent="0.2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</row>
    <row r="823" spans="1:23" ht="15.75" customHeight="1" x14ac:dyDescent="0.2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</row>
    <row r="824" spans="1:23" ht="15.75" customHeight="1" x14ac:dyDescent="0.2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</row>
    <row r="825" spans="1:23" ht="15.75" customHeight="1" x14ac:dyDescent="0.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</row>
    <row r="826" spans="1:23" ht="15.75" customHeight="1" x14ac:dyDescent="0.2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</row>
    <row r="827" spans="1:23" ht="15.75" customHeight="1" x14ac:dyDescent="0.2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</row>
    <row r="828" spans="1:23" ht="15.75" customHeight="1" x14ac:dyDescent="0.2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</row>
    <row r="829" spans="1:23" ht="15.75" customHeight="1" x14ac:dyDescent="0.2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</row>
    <row r="830" spans="1:23" ht="15.75" customHeight="1" x14ac:dyDescent="0.2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</row>
    <row r="831" spans="1:23" ht="15.75" customHeight="1" x14ac:dyDescent="0.2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</row>
    <row r="832" spans="1:23" ht="15.75" customHeight="1" x14ac:dyDescent="0.2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</row>
    <row r="833" spans="1:23" ht="15.75" customHeight="1" x14ac:dyDescent="0.2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</row>
    <row r="834" spans="1:23" ht="15.75" customHeight="1" x14ac:dyDescent="0.2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</row>
    <row r="835" spans="1:23" ht="15.75" customHeight="1" x14ac:dyDescent="0.2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</row>
    <row r="836" spans="1:23" ht="15.75" customHeight="1" x14ac:dyDescent="0.2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</row>
    <row r="837" spans="1:23" ht="15.75" customHeight="1" x14ac:dyDescent="0.2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</row>
    <row r="838" spans="1:23" ht="15.75" customHeight="1" x14ac:dyDescent="0.2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</row>
    <row r="839" spans="1:23" ht="15.75" customHeight="1" x14ac:dyDescent="0.2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</row>
    <row r="840" spans="1:23" ht="15.75" customHeight="1" x14ac:dyDescent="0.2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</row>
    <row r="841" spans="1:23" ht="15.75" customHeight="1" x14ac:dyDescent="0.2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</row>
    <row r="842" spans="1:23" ht="15.75" customHeight="1" x14ac:dyDescent="0.2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</row>
    <row r="843" spans="1:23" ht="15.75" customHeight="1" x14ac:dyDescent="0.2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</row>
    <row r="844" spans="1:23" ht="15.75" customHeight="1" x14ac:dyDescent="0.2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</row>
    <row r="845" spans="1:23" ht="15.75" customHeight="1" x14ac:dyDescent="0.2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</row>
    <row r="846" spans="1:23" ht="15.75" customHeight="1" x14ac:dyDescent="0.2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</row>
    <row r="847" spans="1:23" ht="15.75" customHeight="1" x14ac:dyDescent="0.2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</row>
    <row r="848" spans="1:23" ht="15.75" customHeight="1" x14ac:dyDescent="0.2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</row>
    <row r="849" spans="1:23" ht="15.75" customHeight="1" x14ac:dyDescent="0.2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</row>
    <row r="850" spans="1:23" ht="15.75" customHeight="1" x14ac:dyDescent="0.2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</row>
    <row r="851" spans="1:23" ht="15.75" customHeight="1" x14ac:dyDescent="0.2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</row>
    <row r="852" spans="1:23" ht="15.75" customHeight="1" x14ac:dyDescent="0.2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</row>
    <row r="853" spans="1:23" ht="15.75" customHeight="1" x14ac:dyDescent="0.2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</row>
    <row r="854" spans="1:23" ht="15.75" customHeight="1" x14ac:dyDescent="0.2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</row>
    <row r="855" spans="1:23" ht="15.75" customHeight="1" x14ac:dyDescent="0.2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</row>
    <row r="856" spans="1:23" ht="15.75" customHeight="1" x14ac:dyDescent="0.2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</row>
    <row r="857" spans="1:23" ht="15.75" customHeight="1" x14ac:dyDescent="0.2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</row>
    <row r="858" spans="1:23" ht="15.75" customHeight="1" x14ac:dyDescent="0.2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</row>
    <row r="859" spans="1:23" ht="15.75" customHeight="1" x14ac:dyDescent="0.2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</row>
    <row r="860" spans="1:23" ht="15.75" customHeight="1" x14ac:dyDescent="0.2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</row>
    <row r="861" spans="1:23" ht="15.75" customHeight="1" x14ac:dyDescent="0.2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</row>
    <row r="862" spans="1:23" ht="15.75" customHeight="1" x14ac:dyDescent="0.2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</row>
    <row r="863" spans="1:23" ht="15.75" customHeight="1" x14ac:dyDescent="0.2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</row>
    <row r="864" spans="1:23" ht="15.75" customHeight="1" x14ac:dyDescent="0.2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</row>
    <row r="865" spans="1:23" ht="15.75" customHeight="1" x14ac:dyDescent="0.2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</row>
    <row r="866" spans="1:23" ht="15.75" customHeight="1" x14ac:dyDescent="0.2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</row>
    <row r="867" spans="1:23" ht="15.75" customHeight="1" x14ac:dyDescent="0.2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</row>
    <row r="868" spans="1:23" ht="15.75" customHeight="1" x14ac:dyDescent="0.2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</row>
    <row r="869" spans="1:23" ht="15.75" customHeight="1" x14ac:dyDescent="0.2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</row>
    <row r="870" spans="1:23" ht="15.75" customHeight="1" x14ac:dyDescent="0.2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</row>
    <row r="871" spans="1:23" ht="15.75" customHeight="1" x14ac:dyDescent="0.2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</row>
    <row r="872" spans="1:23" ht="15.75" customHeight="1" x14ac:dyDescent="0.2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</row>
    <row r="873" spans="1:23" ht="15.75" customHeight="1" x14ac:dyDescent="0.2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</row>
    <row r="874" spans="1:23" ht="15.75" customHeight="1" x14ac:dyDescent="0.2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</row>
    <row r="875" spans="1:23" ht="15.75" customHeight="1" x14ac:dyDescent="0.2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</row>
    <row r="876" spans="1:23" ht="15.75" customHeight="1" x14ac:dyDescent="0.2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</row>
    <row r="877" spans="1:23" ht="15.75" customHeight="1" x14ac:dyDescent="0.2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</row>
    <row r="878" spans="1:23" ht="15.75" customHeight="1" x14ac:dyDescent="0.2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</row>
    <row r="879" spans="1:23" ht="15.75" customHeight="1" x14ac:dyDescent="0.2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</row>
    <row r="880" spans="1:23" ht="15.75" customHeight="1" x14ac:dyDescent="0.2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</row>
    <row r="881" spans="1:23" ht="15.75" customHeight="1" x14ac:dyDescent="0.2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</row>
    <row r="882" spans="1:23" ht="15.75" customHeight="1" x14ac:dyDescent="0.2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</row>
    <row r="883" spans="1:23" ht="15.75" customHeight="1" x14ac:dyDescent="0.2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</row>
    <row r="884" spans="1:23" ht="15.75" customHeight="1" x14ac:dyDescent="0.2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</row>
    <row r="885" spans="1:23" ht="15.75" customHeight="1" x14ac:dyDescent="0.2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</row>
    <row r="886" spans="1:23" ht="15.75" customHeight="1" x14ac:dyDescent="0.2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</row>
    <row r="887" spans="1:23" ht="15.75" customHeight="1" x14ac:dyDescent="0.2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</row>
    <row r="888" spans="1:23" ht="15.75" customHeight="1" x14ac:dyDescent="0.2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</row>
    <row r="889" spans="1:23" ht="15.75" customHeight="1" x14ac:dyDescent="0.2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</row>
    <row r="890" spans="1:23" ht="15.75" customHeight="1" x14ac:dyDescent="0.2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</row>
    <row r="891" spans="1:23" ht="15.75" customHeight="1" x14ac:dyDescent="0.2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</row>
    <row r="892" spans="1:23" ht="15.75" customHeight="1" x14ac:dyDescent="0.2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</row>
    <row r="893" spans="1:23" ht="15.75" customHeight="1" x14ac:dyDescent="0.2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</row>
    <row r="894" spans="1:23" ht="15.75" customHeight="1" x14ac:dyDescent="0.2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</row>
    <row r="895" spans="1:23" ht="15.75" customHeight="1" x14ac:dyDescent="0.2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</row>
    <row r="896" spans="1:23" ht="15.75" customHeight="1" x14ac:dyDescent="0.2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</row>
    <row r="897" spans="1:23" ht="15.75" customHeight="1" x14ac:dyDescent="0.2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</row>
    <row r="898" spans="1:23" ht="15.75" customHeight="1" x14ac:dyDescent="0.2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</row>
    <row r="899" spans="1:23" ht="15.75" customHeight="1" x14ac:dyDescent="0.2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</row>
    <row r="900" spans="1:23" ht="15.75" customHeight="1" x14ac:dyDescent="0.2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</row>
    <row r="901" spans="1:23" ht="15.75" customHeight="1" x14ac:dyDescent="0.2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</row>
    <row r="902" spans="1:23" ht="15.75" customHeight="1" x14ac:dyDescent="0.2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</row>
    <row r="903" spans="1:23" ht="15.75" customHeight="1" x14ac:dyDescent="0.2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</row>
    <row r="904" spans="1:23" ht="15.75" customHeight="1" x14ac:dyDescent="0.2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</row>
    <row r="905" spans="1:23" ht="15.75" customHeight="1" x14ac:dyDescent="0.2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</row>
    <row r="906" spans="1:23" ht="15.75" customHeight="1" x14ac:dyDescent="0.2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</row>
    <row r="907" spans="1:23" ht="15.75" customHeight="1" x14ac:dyDescent="0.2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</row>
    <row r="908" spans="1:23" ht="15.75" customHeight="1" x14ac:dyDescent="0.2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</row>
    <row r="909" spans="1:23" ht="15.75" customHeight="1" x14ac:dyDescent="0.2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</row>
    <row r="910" spans="1:23" ht="15.75" customHeight="1" x14ac:dyDescent="0.2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</row>
    <row r="911" spans="1:23" ht="15.75" customHeight="1" x14ac:dyDescent="0.2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</row>
    <row r="912" spans="1:23" ht="15.75" customHeight="1" x14ac:dyDescent="0.2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</row>
    <row r="913" spans="1:23" ht="15.75" customHeight="1" x14ac:dyDescent="0.2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</row>
    <row r="914" spans="1:23" ht="15.75" customHeight="1" x14ac:dyDescent="0.2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</row>
    <row r="915" spans="1:23" ht="15.75" customHeight="1" x14ac:dyDescent="0.2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</row>
    <row r="916" spans="1:23" ht="15.75" customHeight="1" x14ac:dyDescent="0.2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</row>
    <row r="917" spans="1:23" ht="15.75" customHeight="1" x14ac:dyDescent="0.2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</row>
    <row r="918" spans="1:23" ht="15.75" customHeight="1" x14ac:dyDescent="0.2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</row>
    <row r="919" spans="1:23" ht="15.75" customHeight="1" x14ac:dyDescent="0.2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</row>
    <row r="920" spans="1:23" ht="15.75" customHeight="1" x14ac:dyDescent="0.2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</row>
    <row r="921" spans="1:23" ht="15.75" customHeight="1" x14ac:dyDescent="0.2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</row>
    <row r="922" spans="1:23" ht="15.75" customHeight="1" x14ac:dyDescent="0.2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</row>
    <row r="923" spans="1:23" ht="15.75" customHeight="1" x14ac:dyDescent="0.2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</row>
    <row r="924" spans="1:23" ht="15.75" customHeight="1" x14ac:dyDescent="0.2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</row>
    <row r="925" spans="1:23" ht="15.75" customHeight="1" x14ac:dyDescent="0.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</row>
    <row r="926" spans="1:23" ht="15.75" customHeight="1" x14ac:dyDescent="0.2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</row>
    <row r="927" spans="1:23" ht="15.75" customHeight="1" x14ac:dyDescent="0.2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</row>
    <row r="928" spans="1:23" ht="15.75" customHeight="1" x14ac:dyDescent="0.2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</row>
    <row r="929" spans="1:23" ht="15.75" customHeight="1" x14ac:dyDescent="0.2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</row>
    <row r="930" spans="1:23" ht="15.75" customHeight="1" x14ac:dyDescent="0.2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</row>
    <row r="931" spans="1:23" ht="15.75" customHeight="1" x14ac:dyDescent="0.2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</row>
    <row r="932" spans="1:23" ht="15.75" customHeight="1" x14ac:dyDescent="0.2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</row>
    <row r="933" spans="1:23" ht="15.75" customHeight="1" x14ac:dyDescent="0.2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</row>
    <row r="934" spans="1:23" ht="15.75" customHeight="1" x14ac:dyDescent="0.2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</row>
    <row r="935" spans="1:23" ht="15.75" customHeight="1" x14ac:dyDescent="0.2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</row>
    <row r="936" spans="1:23" ht="15.75" customHeight="1" x14ac:dyDescent="0.2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</row>
    <row r="937" spans="1:23" ht="15.75" customHeight="1" x14ac:dyDescent="0.2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</row>
    <row r="938" spans="1:23" ht="15.75" customHeight="1" x14ac:dyDescent="0.2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</row>
    <row r="939" spans="1:23" ht="15.75" customHeight="1" x14ac:dyDescent="0.2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</row>
    <row r="940" spans="1:23" ht="15.75" customHeight="1" x14ac:dyDescent="0.2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</row>
    <row r="941" spans="1:23" ht="15.75" customHeight="1" x14ac:dyDescent="0.2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</row>
    <row r="942" spans="1:23" ht="15.75" customHeight="1" x14ac:dyDescent="0.2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</row>
    <row r="943" spans="1:23" ht="15.75" customHeight="1" x14ac:dyDescent="0.2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</row>
    <row r="944" spans="1:23" ht="15.75" customHeight="1" x14ac:dyDescent="0.2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</row>
    <row r="945" spans="1:23" ht="15.75" customHeight="1" x14ac:dyDescent="0.2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</row>
    <row r="946" spans="1:23" ht="15.75" customHeight="1" x14ac:dyDescent="0.2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</row>
    <row r="947" spans="1:23" ht="15.75" customHeight="1" x14ac:dyDescent="0.2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</row>
    <row r="948" spans="1:23" ht="15.75" customHeight="1" x14ac:dyDescent="0.2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</row>
    <row r="949" spans="1:23" ht="15.75" customHeight="1" x14ac:dyDescent="0.2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</row>
    <row r="950" spans="1:23" ht="15.75" customHeight="1" x14ac:dyDescent="0.2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</row>
    <row r="951" spans="1:23" ht="15.75" customHeight="1" x14ac:dyDescent="0.2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</row>
    <row r="952" spans="1:23" ht="15.75" customHeight="1" x14ac:dyDescent="0.2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</row>
    <row r="953" spans="1:23" ht="15.75" customHeight="1" x14ac:dyDescent="0.2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</row>
    <row r="954" spans="1:23" ht="15.75" customHeight="1" x14ac:dyDescent="0.2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</row>
    <row r="955" spans="1:23" ht="15.75" customHeight="1" x14ac:dyDescent="0.2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</row>
    <row r="956" spans="1:23" ht="15.75" customHeight="1" x14ac:dyDescent="0.2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</row>
    <row r="957" spans="1:23" ht="15.75" customHeight="1" x14ac:dyDescent="0.2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</row>
    <row r="958" spans="1:23" ht="15.75" customHeight="1" x14ac:dyDescent="0.2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</row>
    <row r="959" spans="1:23" ht="15.75" customHeight="1" x14ac:dyDescent="0.2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</row>
    <row r="960" spans="1:23" ht="15.75" customHeight="1" x14ac:dyDescent="0.2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</row>
    <row r="961" spans="1:23" ht="15.75" customHeight="1" x14ac:dyDescent="0.2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</row>
    <row r="962" spans="1:23" ht="15.75" customHeight="1" x14ac:dyDescent="0.2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</row>
    <row r="963" spans="1:23" ht="15.75" customHeight="1" x14ac:dyDescent="0.2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</row>
    <row r="964" spans="1:23" ht="15.75" customHeight="1" x14ac:dyDescent="0.2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</row>
    <row r="965" spans="1:23" ht="15.75" customHeight="1" x14ac:dyDescent="0.2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</row>
    <row r="966" spans="1:23" ht="15.75" customHeight="1" x14ac:dyDescent="0.2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</row>
    <row r="967" spans="1:23" ht="15.75" customHeight="1" x14ac:dyDescent="0.2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</row>
    <row r="968" spans="1:23" ht="15.75" customHeight="1" x14ac:dyDescent="0.2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</row>
    <row r="969" spans="1:23" ht="15.75" customHeight="1" x14ac:dyDescent="0.2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</row>
    <row r="970" spans="1:23" ht="15.75" customHeight="1" x14ac:dyDescent="0.2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</row>
    <row r="971" spans="1:23" ht="15.75" customHeight="1" x14ac:dyDescent="0.2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</row>
    <row r="972" spans="1:23" ht="15.75" customHeight="1" x14ac:dyDescent="0.2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</row>
    <row r="973" spans="1:23" ht="15.75" customHeight="1" x14ac:dyDescent="0.2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</row>
    <row r="974" spans="1:23" ht="15.75" customHeight="1" x14ac:dyDescent="0.2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</row>
    <row r="975" spans="1:23" ht="15.75" customHeight="1" x14ac:dyDescent="0.2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</row>
    <row r="976" spans="1:23" ht="15.75" customHeight="1" x14ac:dyDescent="0.2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</row>
    <row r="977" spans="1:23" ht="15.75" customHeight="1" x14ac:dyDescent="0.2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</row>
    <row r="978" spans="1:23" ht="15.75" customHeight="1" x14ac:dyDescent="0.2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</row>
    <row r="979" spans="1:23" ht="15.75" customHeight="1" x14ac:dyDescent="0.2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</row>
    <row r="980" spans="1:23" ht="15.75" customHeight="1" x14ac:dyDescent="0.2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</row>
    <row r="981" spans="1:23" ht="15.75" customHeight="1" x14ac:dyDescent="0.2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</row>
    <row r="982" spans="1:23" ht="15.75" customHeight="1" x14ac:dyDescent="0.2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</row>
    <row r="983" spans="1:23" ht="15.75" customHeight="1" x14ac:dyDescent="0.2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</row>
    <row r="984" spans="1:23" ht="15.75" customHeight="1" x14ac:dyDescent="0.2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</row>
    <row r="985" spans="1:23" ht="15.75" customHeight="1" x14ac:dyDescent="0.2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</row>
    <row r="986" spans="1:23" ht="15.75" customHeight="1" x14ac:dyDescent="0.2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</row>
    <row r="987" spans="1:23" ht="15.75" customHeight="1" x14ac:dyDescent="0.2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</row>
    <row r="988" spans="1:23" ht="15.75" customHeight="1" x14ac:dyDescent="0.2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</row>
    <row r="989" spans="1:23" ht="15.75" customHeight="1" x14ac:dyDescent="0.2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</row>
    <row r="990" spans="1:23" ht="15.75" customHeight="1" x14ac:dyDescent="0.2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</row>
    <row r="991" spans="1:23" ht="15.75" customHeight="1" x14ac:dyDescent="0.2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</row>
    <row r="992" spans="1:23" ht="15.75" customHeight="1" x14ac:dyDescent="0.2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</row>
    <row r="993" spans="1:23" ht="15.75" customHeight="1" x14ac:dyDescent="0.2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</row>
    <row r="994" spans="1:23" ht="15.75" customHeight="1" x14ac:dyDescent="0.2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</row>
    <row r="995" spans="1:23" ht="15.75" customHeight="1" x14ac:dyDescent="0.2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</row>
    <row r="996" spans="1:23" ht="15.75" customHeight="1" x14ac:dyDescent="0.2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</row>
    <row r="997" spans="1:23" ht="15.75" customHeight="1" x14ac:dyDescent="0.2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</row>
    <row r="998" spans="1:23" ht="15.75" customHeight="1" x14ac:dyDescent="0.2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</row>
    <row r="999" spans="1:23" ht="15.75" customHeight="1" x14ac:dyDescent="0.2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</row>
    <row r="1000" spans="1:23" ht="15.75" customHeight="1" x14ac:dyDescent="0.2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</row>
    <row r="1001" spans="1:23" ht="15.75" customHeight="1" x14ac:dyDescent="0.25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</row>
    <row r="1002" spans="1:23" ht="15.75" customHeight="1" x14ac:dyDescent="0.25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</row>
    <row r="1003" spans="1:23" ht="15.75" customHeight="1" x14ac:dyDescent="0.25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</row>
    <row r="1004" spans="1:23" ht="15.75" customHeight="1" x14ac:dyDescent="0.25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</row>
    <row r="1005" spans="1:23" ht="15.75" customHeight="1" x14ac:dyDescent="0.2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</row>
    <row r="1006" spans="1:23" ht="15.75" customHeight="1" x14ac:dyDescent="0.25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</row>
    <row r="1007" spans="1:23" ht="15.75" customHeight="1" x14ac:dyDescent="0.25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</row>
    <row r="1008" spans="1:23" ht="15.75" customHeight="1" x14ac:dyDescent="0.25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</row>
    <row r="1009" spans="1:23" ht="15.75" customHeight="1" x14ac:dyDescent="0.25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</row>
    <row r="1010" spans="1:23" ht="15.75" customHeight="1" x14ac:dyDescent="0.25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</row>
    <row r="1011" spans="1:23" ht="15.75" customHeight="1" x14ac:dyDescent="0.25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</row>
    <row r="1012" spans="1:23" ht="15.75" customHeight="1" x14ac:dyDescent="0.25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</row>
    <row r="1013" spans="1:23" ht="15.75" customHeight="1" x14ac:dyDescent="0.25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</row>
    <row r="1014" spans="1:23" ht="15.75" customHeight="1" x14ac:dyDescent="0.25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</row>
    <row r="1015" spans="1:23" ht="15.75" customHeight="1" x14ac:dyDescent="0.2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</row>
    <row r="1016" spans="1:23" ht="15.75" customHeight="1" x14ac:dyDescent="0.25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</row>
    <row r="1017" spans="1:23" ht="15.75" customHeight="1" x14ac:dyDescent="0.25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</row>
    <row r="1018" spans="1:23" ht="15.75" customHeight="1" x14ac:dyDescent="0.25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</row>
    <row r="1019" spans="1:23" ht="15.75" customHeight="1" x14ac:dyDescent="0.25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</row>
    <row r="1020" spans="1:23" ht="15.75" customHeight="1" x14ac:dyDescent="0.25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</row>
    <row r="1021" spans="1:23" ht="15.75" customHeight="1" x14ac:dyDescent="0.25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</row>
    <row r="1022" spans="1:23" ht="15.75" customHeight="1" x14ac:dyDescent="0.25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</row>
    <row r="1023" spans="1:23" ht="15.75" customHeight="1" x14ac:dyDescent="0.25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</row>
    <row r="1024" spans="1:23" ht="15.75" customHeight="1" x14ac:dyDescent="0.25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</row>
    <row r="1025" spans="1:23" ht="15.75" customHeight="1" x14ac:dyDescent="0.25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</row>
    <row r="1026" spans="1:23" ht="15.75" customHeight="1" x14ac:dyDescent="0.25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</row>
    <row r="1027" spans="1:23" ht="15.75" customHeight="1" x14ac:dyDescent="0.25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</row>
    <row r="1028" spans="1:23" ht="15.75" customHeight="1" x14ac:dyDescent="0.25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</row>
    <row r="1029" spans="1:23" ht="15.75" customHeight="1" x14ac:dyDescent="0.25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</row>
    <row r="1030" spans="1:23" ht="15.75" customHeight="1" x14ac:dyDescent="0.25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</row>
    <row r="1031" spans="1:23" ht="15.75" customHeight="1" x14ac:dyDescent="0.25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</row>
    <row r="1032" spans="1:23" ht="15.75" customHeight="1" x14ac:dyDescent="0.25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</row>
    <row r="1033" spans="1:23" ht="15.75" customHeight="1" x14ac:dyDescent="0.25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</row>
    <row r="1034" spans="1:23" ht="15.75" customHeight="1" x14ac:dyDescent="0.25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</row>
    <row r="1035" spans="1:23" ht="15.75" customHeight="1" x14ac:dyDescent="0.25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</row>
    <row r="1036" spans="1:23" ht="15.75" customHeight="1" x14ac:dyDescent="0.25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</row>
    <row r="1037" spans="1:23" ht="15.75" customHeight="1" x14ac:dyDescent="0.25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</row>
    <row r="1038" spans="1:23" ht="15.75" customHeight="1" x14ac:dyDescent="0.25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</row>
    <row r="1039" spans="1:23" ht="15.75" customHeight="1" x14ac:dyDescent="0.25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</row>
    <row r="1040" spans="1:23" ht="15.75" customHeight="1" x14ac:dyDescent="0.25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</row>
    <row r="1041" spans="1:23" ht="15.75" customHeight="1" x14ac:dyDescent="0.25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</row>
    <row r="1042" spans="1:23" ht="15.75" customHeight="1" x14ac:dyDescent="0.25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</row>
    <row r="1043" spans="1:23" ht="15.75" customHeight="1" x14ac:dyDescent="0.25">
      <c r="A1043" s="4"/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</row>
    <row r="1044" spans="1:23" ht="15.75" customHeight="1" x14ac:dyDescent="0.25">
      <c r="A1044" s="4"/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</row>
    <row r="1045" spans="1:23" ht="15.75" customHeight="1" x14ac:dyDescent="0.25">
      <c r="A1045" s="4"/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</row>
    <row r="1046" spans="1:23" ht="15.75" customHeight="1" x14ac:dyDescent="0.25">
      <c r="A1046" s="4"/>
      <c r="B1046" s="4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</row>
    <row r="1047" spans="1:23" ht="15.75" customHeight="1" x14ac:dyDescent="0.25">
      <c r="A1047" s="4"/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</row>
    <row r="1048" spans="1:23" ht="15.75" customHeight="1" x14ac:dyDescent="0.25">
      <c r="A1048" s="4"/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</row>
    <row r="1049" spans="1:23" ht="15.75" customHeight="1" x14ac:dyDescent="0.25">
      <c r="A1049" s="4"/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</row>
    <row r="1050" spans="1:23" ht="15.75" customHeight="1" x14ac:dyDescent="0.25">
      <c r="A1050" s="4"/>
      <c r="B1050" s="4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</row>
    <row r="1051" spans="1:23" ht="15.75" customHeight="1" x14ac:dyDescent="0.25">
      <c r="A1051" s="4"/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</row>
    <row r="1052" spans="1:23" ht="15.75" customHeight="1" x14ac:dyDescent="0.25">
      <c r="A1052" s="4"/>
      <c r="B1052" s="4"/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</row>
    <row r="1053" spans="1:23" ht="15.75" customHeight="1" x14ac:dyDescent="0.25">
      <c r="A1053" s="4"/>
      <c r="B1053" s="4"/>
      <c r="C1053" s="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</row>
    <row r="1054" spans="1:23" ht="15.75" customHeight="1" x14ac:dyDescent="0.25">
      <c r="A1054" s="4"/>
      <c r="B1054" s="4"/>
      <c r="C1054" s="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</row>
    <row r="1055" spans="1:23" ht="15.75" customHeight="1" x14ac:dyDescent="0.25">
      <c r="A1055" s="4"/>
      <c r="B1055" s="4"/>
      <c r="C1055" s="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</row>
    <row r="1056" spans="1:23" ht="15.75" customHeight="1" x14ac:dyDescent="0.25">
      <c r="A1056" s="4"/>
      <c r="B1056" s="4"/>
      <c r="C1056" s="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</row>
    <row r="1057" spans="1:23" ht="15.75" customHeight="1" x14ac:dyDescent="0.25">
      <c r="A1057" s="4"/>
      <c r="B1057" s="4"/>
      <c r="C1057" s="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</row>
    <row r="1058" spans="1:23" ht="15.75" customHeight="1" x14ac:dyDescent="0.25">
      <c r="A1058" s="4"/>
      <c r="B1058" s="4"/>
      <c r="C1058" s="4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</row>
    <row r="1059" spans="1:23" ht="15.75" customHeight="1" x14ac:dyDescent="0.25">
      <c r="A1059" s="4"/>
      <c r="B1059" s="4"/>
      <c r="C1059" s="4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</row>
    <row r="1060" spans="1:23" ht="15.75" customHeight="1" x14ac:dyDescent="0.25">
      <c r="A1060" s="4"/>
      <c r="B1060" s="4"/>
      <c r="C1060" s="4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</row>
    <row r="1061" spans="1:23" ht="15.75" customHeight="1" x14ac:dyDescent="0.25">
      <c r="A1061" s="4"/>
      <c r="B1061" s="4"/>
      <c r="C1061" s="4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</row>
    <row r="1062" spans="1:23" ht="15.75" customHeight="1" x14ac:dyDescent="0.25">
      <c r="A1062" s="4"/>
      <c r="B1062" s="4"/>
      <c r="C1062" s="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</row>
    <row r="1063" spans="1:23" ht="15.75" customHeight="1" x14ac:dyDescent="0.25">
      <c r="A1063" s="4"/>
      <c r="B1063" s="4"/>
      <c r="C1063" s="4"/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</row>
    <row r="1064" spans="1:23" ht="15.75" customHeight="1" x14ac:dyDescent="0.25">
      <c r="A1064" s="4"/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</row>
    <row r="1065" spans="1:23" ht="15.75" customHeight="1" x14ac:dyDescent="0.25">
      <c r="A1065" s="4"/>
      <c r="B1065" s="4"/>
      <c r="C1065" s="4"/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</row>
    <row r="1066" spans="1:23" ht="15.75" customHeight="1" x14ac:dyDescent="0.25">
      <c r="A1066" s="4"/>
      <c r="B1066" s="4"/>
      <c r="C1066" s="4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</row>
    <row r="1067" spans="1:23" ht="15.75" customHeight="1" x14ac:dyDescent="0.25">
      <c r="A1067" s="4"/>
      <c r="B1067" s="4"/>
      <c r="C1067" s="4"/>
      <c r="D1067" s="4"/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</row>
    <row r="1068" spans="1:23" ht="15.75" customHeight="1" x14ac:dyDescent="0.25">
      <c r="A1068" s="4"/>
      <c r="B1068" s="4"/>
      <c r="C1068" s="4"/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</row>
    <row r="1069" spans="1:23" ht="15.75" customHeight="1" x14ac:dyDescent="0.25">
      <c r="A1069" s="4"/>
      <c r="B1069" s="4"/>
      <c r="C1069" s="4"/>
      <c r="D1069" s="4"/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</row>
    <row r="1070" spans="1:23" ht="15.75" customHeight="1" x14ac:dyDescent="0.25">
      <c r="A1070" s="4"/>
      <c r="B1070" s="4"/>
      <c r="C1070" s="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</row>
    <row r="1071" spans="1:23" ht="15.75" customHeight="1" x14ac:dyDescent="0.25">
      <c r="A1071" s="4"/>
      <c r="B1071" s="4"/>
      <c r="C1071" s="4"/>
      <c r="D1071" s="4"/>
      <c r="E1071" s="4"/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</row>
    <row r="1072" spans="1:23" ht="15.75" customHeight="1" x14ac:dyDescent="0.25">
      <c r="A1072" s="4"/>
      <c r="B1072" s="4"/>
      <c r="C1072" s="4"/>
      <c r="D1072" s="4"/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</row>
    <row r="1073" spans="1:23" ht="15.75" customHeight="1" x14ac:dyDescent="0.25">
      <c r="A1073" s="4"/>
      <c r="B1073" s="4"/>
      <c r="C1073" s="4"/>
      <c r="D1073" s="4"/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</row>
    <row r="1074" spans="1:23" ht="15.75" customHeight="1" x14ac:dyDescent="0.25">
      <c r="A1074" s="4"/>
      <c r="B1074" s="4"/>
      <c r="C1074" s="4"/>
      <c r="D1074" s="4"/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</row>
    <row r="1075" spans="1:23" ht="15.75" customHeight="1" x14ac:dyDescent="0.25">
      <c r="A1075" s="4"/>
      <c r="B1075" s="4"/>
      <c r="C1075" s="4"/>
      <c r="D1075" s="4"/>
      <c r="E1075" s="4"/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</row>
    <row r="1076" spans="1:23" ht="15.75" customHeight="1" x14ac:dyDescent="0.25">
      <c r="A1076" s="4"/>
      <c r="B1076" s="4"/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</row>
    <row r="1077" spans="1:23" ht="15.75" customHeight="1" x14ac:dyDescent="0.25">
      <c r="A1077" s="4"/>
      <c r="B1077" s="4"/>
      <c r="C1077" s="4"/>
      <c r="D1077" s="4"/>
      <c r="E1077" s="4"/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</row>
    <row r="1078" spans="1:23" ht="15.75" customHeight="1" x14ac:dyDescent="0.25">
      <c r="A1078" s="4"/>
      <c r="B1078" s="4"/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</row>
    <row r="1079" spans="1:23" ht="15.75" customHeight="1" x14ac:dyDescent="0.25">
      <c r="A1079" s="4"/>
      <c r="B1079" s="4"/>
      <c r="C1079" s="4"/>
      <c r="D1079" s="4"/>
      <c r="E1079" s="4"/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</row>
    <row r="1080" spans="1:23" ht="15.75" customHeight="1" x14ac:dyDescent="0.25">
      <c r="A1080" s="4"/>
      <c r="B1080" s="4"/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</row>
    <row r="1081" spans="1:23" ht="15.75" customHeight="1" x14ac:dyDescent="0.25">
      <c r="A1081" s="4"/>
      <c r="B1081" s="4"/>
      <c r="C1081" s="4"/>
      <c r="D1081" s="4"/>
      <c r="E1081" s="4"/>
      <c r="F1081" s="4"/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</row>
    <row r="1082" spans="1:23" ht="15.75" customHeight="1" x14ac:dyDescent="0.25">
      <c r="A1082" s="4"/>
      <c r="B1082" s="4"/>
      <c r="C1082" s="4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</row>
    <row r="1083" spans="1:23" ht="15.75" customHeight="1" x14ac:dyDescent="0.25">
      <c r="A1083" s="4"/>
      <c r="B1083" s="4"/>
      <c r="C1083" s="4"/>
      <c r="D1083" s="4"/>
      <c r="E1083" s="4"/>
      <c r="F1083" s="4"/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</row>
    <row r="1084" spans="1:23" ht="15.75" customHeight="1" x14ac:dyDescent="0.25">
      <c r="A1084" s="4"/>
      <c r="B1084" s="4"/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</row>
    <row r="1085" spans="1:23" ht="15.75" customHeight="1" x14ac:dyDescent="0.25">
      <c r="A1085" s="4"/>
      <c r="B1085" s="4"/>
      <c r="C1085" s="4"/>
      <c r="D1085" s="4"/>
      <c r="E1085" s="4"/>
      <c r="F1085" s="4"/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</row>
    <row r="1086" spans="1:23" ht="15.75" customHeight="1" x14ac:dyDescent="0.25">
      <c r="A1086" s="4"/>
      <c r="B1086" s="4"/>
      <c r="C1086" s="4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</row>
    <row r="1087" spans="1:23" ht="15.75" customHeight="1" x14ac:dyDescent="0.25">
      <c r="A1087" s="4"/>
      <c r="B1087" s="4"/>
      <c r="C1087" s="4"/>
      <c r="D1087" s="4"/>
      <c r="E1087" s="4"/>
      <c r="F1087" s="4"/>
      <c r="G1087" s="4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</row>
    <row r="1088" spans="1:23" ht="15.75" customHeight="1" x14ac:dyDescent="0.25">
      <c r="A1088" s="4"/>
      <c r="B1088" s="4"/>
      <c r="C1088" s="4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</row>
    <row r="1089" spans="1:23" ht="15.75" customHeight="1" x14ac:dyDescent="0.25">
      <c r="A1089" s="4"/>
      <c r="B1089" s="4"/>
      <c r="C1089" s="4"/>
      <c r="D1089" s="4"/>
      <c r="E1089" s="4"/>
      <c r="F1089" s="4"/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</row>
    <row r="1090" spans="1:23" ht="15.75" customHeight="1" x14ac:dyDescent="0.25">
      <c r="A1090" s="4"/>
      <c r="B1090" s="4"/>
      <c r="C1090" s="4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</row>
    <row r="1091" spans="1:23" ht="15.75" customHeight="1" x14ac:dyDescent="0.25">
      <c r="A1091" s="4"/>
      <c r="B1091" s="4"/>
      <c r="C1091" s="4"/>
      <c r="D1091" s="4"/>
      <c r="E1091" s="4"/>
      <c r="F1091" s="4"/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</row>
    <row r="1092" spans="1:23" ht="15.75" customHeight="1" x14ac:dyDescent="0.25">
      <c r="A1092" s="4"/>
      <c r="B1092" s="4"/>
      <c r="C1092" s="4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</row>
    <row r="1093" spans="1:23" ht="15.75" customHeight="1" x14ac:dyDescent="0.25">
      <c r="A1093" s="4"/>
      <c r="B1093" s="4"/>
      <c r="C1093" s="4"/>
      <c r="D1093" s="4"/>
      <c r="E1093" s="4"/>
      <c r="F1093" s="4"/>
      <c r="G1093" s="4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</row>
    <row r="1094" spans="1:23" ht="15.75" customHeight="1" x14ac:dyDescent="0.25">
      <c r="A1094" s="4"/>
      <c r="B1094" s="4"/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</row>
    <row r="1095" spans="1:23" ht="15.75" customHeight="1" x14ac:dyDescent="0.25">
      <c r="A1095" s="4"/>
      <c r="B1095" s="4"/>
      <c r="C1095" s="4"/>
      <c r="D1095" s="4"/>
      <c r="E1095" s="4"/>
      <c r="F1095" s="4"/>
      <c r="G1095" s="4"/>
      <c r="H1095" s="4"/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</row>
    <row r="1096" spans="1:23" ht="15.75" customHeight="1" x14ac:dyDescent="0.25">
      <c r="A1096" s="4"/>
      <c r="B1096" s="4"/>
      <c r="C1096" s="4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</row>
    <row r="1097" spans="1:23" ht="15.75" customHeight="1" x14ac:dyDescent="0.25">
      <c r="A1097" s="4"/>
      <c r="B1097" s="4"/>
      <c r="C1097" s="4"/>
      <c r="D1097" s="4"/>
      <c r="E1097" s="4"/>
      <c r="F1097" s="4"/>
      <c r="G1097" s="4"/>
      <c r="H1097" s="4"/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</row>
    <row r="1098" spans="1:23" ht="15.75" customHeight="1" x14ac:dyDescent="0.25">
      <c r="A1098" s="4"/>
      <c r="B1098" s="4"/>
      <c r="C1098" s="4"/>
      <c r="D1098" s="4"/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</row>
    <row r="1099" spans="1:23" ht="15.75" customHeight="1" x14ac:dyDescent="0.25">
      <c r="A1099" s="4"/>
      <c r="B1099" s="4"/>
      <c r="C1099" s="4"/>
      <c r="D1099" s="4"/>
      <c r="E1099" s="4"/>
      <c r="F1099" s="4"/>
      <c r="G1099" s="4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</row>
    <row r="1100" spans="1:23" ht="15.75" customHeight="1" x14ac:dyDescent="0.25">
      <c r="A1100" s="4"/>
      <c r="B1100" s="4"/>
      <c r="C1100" s="4"/>
      <c r="D1100" s="4"/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</row>
    <row r="1101" spans="1:23" ht="15.75" customHeight="1" x14ac:dyDescent="0.25">
      <c r="A1101" s="4"/>
      <c r="B1101" s="4"/>
      <c r="C1101" s="4"/>
      <c r="D1101" s="4"/>
      <c r="E1101" s="4"/>
      <c r="F1101" s="4"/>
      <c r="G1101" s="4"/>
      <c r="H1101" s="4"/>
      <c r="I1101" s="4"/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</row>
    <row r="1102" spans="1:23" ht="15.75" customHeight="1" x14ac:dyDescent="0.25">
      <c r="A1102" s="4"/>
      <c r="B1102" s="4"/>
      <c r="C1102" s="4"/>
      <c r="D1102" s="4"/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</row>
    <row r="1103" spans="1:23" ht="15.75" customHeight="1" x14ac:dyDescent="0.25">
      <c r="A1103" s="4"/>
      <c r="B1103" s="4"/>
      <c r="C1103" s="4"/>
      <c r="D1103" s="4"/>
      <c r="E1103" s="4"/>
      <c r="F1103" s="4"/>
      <c r="G1103" s="4"/>
      <c r="H1103" s="4"/>
      <c r="I1103" s="4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</row>
    <row r="1104" spans="1:23" ht="15.75" customHeight="1" x14ac:dyDescent="0.25">
      <c r="A1104" s="4"/>
      <c r="B1104" s="4"/>
      <c r="C1104" s="4"/>
      <c r="D1104" s="4"/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</row>
    <row r="1105" spans="1:23" ht="15.75" customHeight="1" x14ac:dyDescent="0.25">
      <c r="A1105" s="4"/>
      <c r="B1105" s="4"/>
      <c r="C1105" s="4"/>
      <c r="D1105" s="4"/>
      <c r="E1105" s="4"/>
      <c r="F1105" s="4"/>
      <c r="G1105" s="4"/>
      <c r="H1105" s="4"/>
      <c r="I1105" s="4"/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</row>
    <row r="1106" spans="1:23" ht="15.75" customHeight="1" x14ac:dyDescent="0.25">
      <c r="A1106" s="4"/>
      <c r="B1106" s="4"/>
      <c r="C1106" s="4"/>
      <c r="D1106" s="4"/>
      <c r="E1106" s="4"/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</row>
    <row r="1107" spans="1:23" ht="15.75" customHeight="1" x14ac:dyDescent="0.25">
      <c r="A1107" s="4"/>
      <c r="B1107" s="4"/>
      <c r="C1107" s="4"/>
      <c r="D1107" s="4"/>
      <c r="E1107" s="4"/>
      <c r="F1107" s="4"/>
      <c r="G1107" s="4"/>
      <c r="H1107" s="4"/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</row>
    <row r="1108" spans="1:23" ht="15.75" customHeight="1" x14ac:dyDescent="0.25">
      <c r="A1108" s="4"/>
      <c r="B1108" s="4"/>
      <c r="C1108" s="4"/>
      <c r="D1108" s="4"/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</row>
    <row r="1109" spans="1:23" ht="15.75" customHeight="1" x14ac:dyDescent="0.25">
      <c r="A1109" s="4"/>
      <c r="B1109" s="4"/>
      <c r="C1109" s="4"/>
      <c r="D1109" s="4"/>
      <c r="E1109" s="4"/>
      <c r="F1109" s="4"/>
      <c r="G1109" s="4"/>
      <c r="H1109" s="4"/>
      <c r="I1109" s="4"/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</row>
    <row r="1110" spans="1:23" ht="15.75" customHeight="1" x14ac:dyDescent="0.25">
      <c r="A1110" s="4"/>
      <c r="B1110" s="4"/>
      <c r="C1110" s="4"/>
      <c r="D1110" s="4"/>
      <c r="E1110" s="4"/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</row>
    <row r="1111" spans="1:23" ht="15.75" customHeight="1" x14ac:dyDescent="0.25">
      <c r="A1111" s="4"/>
      <c r="B1111" s="4"/>
      <c r="C1111" s="4"/>
      <c r="D1111" s="4"/>
      <c r="E1111" s="4"/>
      <c r="F1111" s="4"/>
      <c r="G1111" s="4"/>
      <c r="H1111" s="4"/>
      <c r="I1111" s="4"/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</row>
    <row r="1112" spans="1:23" ht="15.75" customHeight="1" x14ac:dyDescent="0.25">
      <c r="A1112" s="4"/>
      <c r="B1112" s="4"/>
      <c r="C1112" s="4"/>
      <c r="D1112" s="4"/>
      <c r="E1112" s="4"/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</row>
    <row r="1113" spans="1:23" ht="15.75" customHeight="1" x14ac:dyDescent="0.25">
      <c r="A1113" s="4"/>
      <c r="B1113" s="4"/>
      <c r="C1113" s="4"/>
      <c r="D1113" s="4"/>
      <c r="E1113" s="4"/>
      <c r="F1113" s="4"/>
      <c r="G1113" s="4"/>
      <c r="H1113" s="4"/>
      <c r="I1113" s="4"/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</row>
    <row r="1114" spans="1:23" ht="15.75" customHeight="1" x14ac:dyDescent="0.25">
      <c r="A1114" s="4"/>
      <c r="B1114" s="4"/>
      <c r="C1114" s="4"/>
      <c r="D1114" s="4"/>
      <c r="E1114" s="4"/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</row>
    <row r="1115" spans="1:23" ht="15.75" customHeight="1" x14ac:dyDescent="0.25">
      <c r="A1115" s="4"/>
      <c r="B1115" s="4"/>
      <c r="C1115" s="4"/>
      <c r="D1115" s="4"/>
      <c r="E1115" s="4"/>
      <c r="F1115" s="4"/>
      <c r="G1115" s="4"/>
      <c r="H1115" s="4"/>
      <c r="I1115" s="4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</row>
    <row r="1116" spans="1:23" ht="15.75" customHeight="1" x14ac:dyDescent="0.25">
      <c r="A1116" s="4"/>
      <c r="B1116" s="4"/>
      <c r="C1116" s="4"/>
      <c r="D1116" s="4"/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</row>
    <row r="1117" spans="1:23" ht="15.75" customHeight="1" x14ac:dyDescent="0.25">
      <c r="A1117" s="4"/>
      <c r="B1117" s="4"/>
      <c r="C1117" s="4"/>
      <c r="D1117" s="4"/>
      <c r="E1117" s="4"/>
      <c r="F1117" s="4"/>
      <c r="G1117" s="4"/>
      <c r="H1117" s="4"/>
      <c r="I1117" s="4"/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</row>
    <row r="1118" spans="1:23" ht="15.75" customHeight="1" x14ac:dyDescent="0.25">
      <c r="A1118" s="4"/>
      <c r="B1118" s="4"/>
      <c r="C1118" s="4"/>
      <c r="D1118" s="4"/>
      <c r="E1118" s="4"/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</row>
    <row r="1119" spans="1:23" ht="15.75" customHeight="1" x14ac:dyDescent="0.25">
      <c r="A1119" s="4"/>
      <c r="B1119" s="4"/>
      <c r="C1119" s="4"/>
      <c r="D1119" s="4"/>
      <c r="E1119" s="4"/>
      <c r="F1119" s="4"/>
      <c r="G1119" s="4"/>
      <c r="H1119" s="4"/>
      <c r="I1119" s="4"/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</row>
    <row r="1120" spans="1:23" ht="15.75" customHeight="1" x14ac:dyDescent="0.25">
      <c r="A1120" s="4"/>
      <c r="B1120" s="4"/>
      <c r="C1120" s="4"/>
      <c r="D1120" s="4"/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</row>
    <row r="1121" spans="1:23" ht="15.75" customHeight="1" x14ac:dyDescent="0.25">
      <c r="A1121" s="4"/>
      <c r="B1121" s="4"/>
      <c r="C1121" s="4"/>
      <c r="D1121" s="4"/>
      <c r="E1121" s="4"/>
      <c r="F1121" s="4"/>
      <c r="G1121" s="4"/>
      <c r="H1121" s="4"/>
      <c r="I1121" s="4"/>
      <c r="J1121" s="4"/>
      <c r="K1121" s="4"/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</row>
    <row r="1122" spans="1:23" ht="15.75" customHeight="1" x14ac:dyDescent="0.25">
      <c r="A1122" s="4"/>
      <c r="B1122" s="4"/>
      <c r="C1122" s="4"/>
      <c r="D1122" s="4"/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</row>
    <row r="1123" spans="1:23" ht="15.75" customHeight="1" x14ac:dyDescent="0.25">
      <c r="A1123" s="4"/>
      <c r="B1123" s="4"/>
      <c r="C1123" s="4"/>
      <c r="D1123" s="4"/>
      <c r="E1123" s="4"/>
      <c r="F1123" s="4"/>
      <c r="G1123" s="4"/>
      <c r="H1123" s="4"/>
      <c r="I1123" s="4"/>
      <c r="J1123" s="4"/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</row>
    <row r="1124" spans="1:23" ht="15.75" customHeight="1" x14ac:dyDescent="0.25">
      <c r="A1124" s="4"/>
      <c r="B1124" s="4"/>
      <c r="C1124" s="4"/>
      <c r="D1124" s="4"/>
      <c r="E1124" s="4"/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</row>
    <row r="1125" spans="1:23" ht="15.75" customHeight="1" x14ac:dyDescent="0.25">
      <c r="A1125" s="4"/>
      <c r="B1125" s="4"/>
      <c r="C1125" s="4"/>
      <c r="D1125" s="4"/>
      <c r="E1125" s="4"/>
      <c r="F1125" s="4"/>
      <c r="G1125" s="4"/>
      <c r="H1125" s="4"/>
      <c r="I1125" s="4"/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</row>
    <row r="1126" spans="1:23" ht="15.75" customHeight="1" x14ac:dyDescent="0.25">
      <c r="A1126" s="4"/>
      <c r="B1126" s="4"/>
      <c r="C1126" s="4"/>
      <c r="D1126" s="4"/>
      <c r="E1126" s="4"/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</row>
    <row r="1127" spans="1:23" ht="15.75" customHeight="1" x14ac:dyDescent="0.25">
      <c r="A1127" s="4"/>
      <c r="B1127" s="4"/>
      <c r="C1127" s="4"/>
      <c r="D1127" s="4"/>
      <c r="E1127" s="4"/>
      <c r="F1127" s="4"/>
      <c r="G1127" s="4"/>
      <c r="H1127" s="4"/>
      <c r="I1127" s="4"/>
      <c r="J1127" s="4"/>
      <c r="K1127" s="4"/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</row>
    <row r="1128" spans="1:23" ht="15.75" customHeight="1" x14ac:dyDescent="0.25">
      <c r="A1128" s="4"/>
      <c r="B1128" s="4"/>
      <c r="C1128" s="4"/>
      <c r="D1128" s="4"/>
      <c r="E1128" s="4"/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</row>
    <row r="1129" spans="1:23" ht="15.75" customHeight="1" x14ac:dyDescent="0.25">
      <c r="A1129" s="4"/>
      <c r="B1129" s="4"/>
      <c r="C1129" s="4"/>
      <c r="D1129" s="4"/>
      <c r="E1129" s="4"/>
      <c r="F1129" s="4"/>
      <c r="G1129" s="4"/>
      <c r="H1129" s="4"/>
      <c r="I1129" s="4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</row>
    <row r="1130" spans="1:23" ht="15.75" customHeight="1" x14ac:dyDescent="0.25">
      <c r="A1130" s="4"/>
      <c r="B1130" s="4"/>
      <c r="C1130" s="4"/>
      <c r="D1130" s="4"/>
      <c r="E1130" s="4"/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</row>
    <row r="1131" spans="1:23" ht="15.75" customHeight="1" x14ac:dyDescent="0.25">
      <c r="A1131" s="4"/>
      <c r="B1131" s="4"/>
      <c r="C1131" s="4"/>
      <c r="D1131" s="4"/>
      <c r="E1131" s="4"/>
      <c r="F1131" s="4"/>
      <c r="G1131" s="4"/>
      <c r="H1131" s="4"/>
      <c r="I1131" s="4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</row>
    <row r="1132" spans="1:23" ht="15.75" customHeight="1" x14ac:dyDescent="0.25">
      <c r="A1132" s="4"/>
      <c r="B1132" s="4"/>
      <c r="C1132" s="4"/>
      <c r="D1132" s="4"/>
      <c r="E1132" s="4"/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</row>
    <row r="1133" spans="1:23" ht="15.75" customHeight="1" x14ac:dyDescent="0.25">
      <c r="A1133" s="4"/>
      <c r="B1133" s="4"/>
      <c r="C1133" s="4"/>
      <c r="D1133" s="4"/>
      <c r="E1133" s="4"/>
      <c r="F1133" s="4"/>
      <c r="G1133" s="4"/>
      <c r="H1133" s="4"/>
      <c r="I1133" s="4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</row>
    <row r="1134" spans="1:23" ht="15.75" customHeight="1" x14ac:dyDescent="0.25">
      <c r="A1134" s="4"/>
      <c r="B1134" s="4"/>
      <c r="C1134" s="4"/>
      <c r="D1134" s="4"/>
      <c r="E1134" s="4"/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</row>
    <row r="1135" spans="1:23" ht="15.75" customHeight="1" x14ac:dyDescent="0.25">
      <c r="A1135" s="4"/>
      <c r="B1135" s="4"/>
      <c r="C1135" s="4"/>
      <c r="D1135" s="4"/>
      <c r="E1135" s="4"/>
      <c r="F1135" s="4"/>
      <c r="G1135" s="4"/>
      <c r="H1135" s="4"/>
      <c r="I1135" s="4"/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</row>
    <row r="1136" spans="1:23" ht="15.75" customHeight="1" x14ac:dyDescent="0.25">
      <c r="A1136" s="4"/>
      <c r="B1136" s="4"/>
      <c r="C1136" s="4"/>
      <c r="D1136" s="4"/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</row>
    <row r="1137" spans="1:23" ht="15.75" customHeight="1" x14ac:dyDescent="0.25">
      <c r="A1137" s="4"/>
      <c r="B1137" s="4"/>
      <c r="C1137" s="4"/>
      <c r="D1137" s="4"/>
      <c r="E1137" s="4"/>
      <c r="F1137" s="4"/>
      <c r="G1137" s="4"/>
      <c r="H1137" s="4"/>
      <c r="I1137" s="4"/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</row>
    <row r="1138" spans="1:23" ht="15.75" customHeight="1" x14ac:dyDescent="0.25">
      <c r="A1138" s="4"/>
      <c r="B1138" s="4"/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</row>
    <row r="1139" spans="1:23" ht="15.75" customHeight="1" x14ac:dyDescent="0.25">
      <c r="A1139" s="4"/>
      <c r="B1139" s="4"/>
      <c r="C1139" s="4"/>
      <c r="D1139" s="4"/>
      <c r="E1139" s="4"/>
      <c r="F1139" s="4"/>
      <c r="G1139" s="4"/>
      <c r="H1139" s="4"/>
      <c r="I1139" s="4"/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</row>
  </sheetData>
  <mergeCells count="10">
    <mergeCell ref="AU2:AV2"/>
    <mergeCell ref="U2:V2"/>
    <mergeCell ref="X2:Y2"/>
    <mergeCell ref="A1:Y1"/>
    <mergeCell ref="AB1:AV1"/>
    <mergeCell ref="G2:L2"/>
    <mergeCell ref="AD2:AI2"/>
    <mergeCell ref="AK2:AP2"/>
    <mergeCell ref="AR2:AS2"/>
    <mergeCell ref="N2:S2"/>
  </mergeCells>
  <pageMargins left="0.7" right="0.7" top="0.75" bottom="0.75" header="0" footer="0"/>
  <pageSetup orientation="landscape" r:id="rId1"/>
  <ignoredErrors>
    <ignoredError sqref="J3 Q3 AG3 AN3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A6790-A119-444B-BBB7-644848544E0F}">
  <dimension ref="A1:AV1139"/>
  <sheetViews>
    <sheetView workbookViewId="0">
      <pane xSplit="1" topLeftCell="B1" activePane="topRight" state="frozen"/>
      <selection pane="topRight" sqref="A1:Y1"/>
    </sheetView>
  </sheetViews>
  <sheetFormatPr baseColWidth="10" defaultColWidth="12.5703125" defaultRowHeight="15" customHeight="1" x14ac:dyDescent="0.25"/>
  <cols>
    <col min="1" max="1" width="25.7109375" customWidth="1"/>
    <col min="2" max="48" width="7.7109375" customWidth="1"/>
  </cols>
  <sheetData>
    <row r="1" spans="1:48" ht="24.95" customHeight="1" x14ac:dyDescent="0.4">
      <c r="A1" s="18" t="s">
        <v>24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</row>
    <row r="2" spans="1:48" ht="26.25" x14ac:dyDescent="0.4">
      <c r="A2" s="11"/>
      <c r="B2" s="14"/>
      <c r="C2" s="14"/>
      <c r="D2" s="14"/>
      <c r="E2" s="14"/>
      <c r="F2" s="14"/>
      <c r="G2" s="17" t="s">
        <v>37</v>
      </c>
      <c r="H2" s="17"/>
      <c r="I2" s="17"/>
      <c r="J2" s="17"/>
      <c r="K2" s="17"/>
      <c r="L2" s="17"/>
      <c r="M2" s="14"/>
      <c r="N2" s="17" t="s">
        <v>38</v>
      </c>
      <c r="O2" s="17"/>
      <c r="P2" s="17"/>
      <c r="Q2" s="17"/>
      <c r="R2" s="17"/>
      <c r="S2" s="17"/>
      <c r="T2" s="14"/>
      <c r="U2" s="17" t="s">
        <v>39</v>
      </c>
      <c r="V2" s="17"/>
      <c r="W2" s="14"/>
      <c r="X2" s="17" t="s">
        <v>40</v>
      </c>
      <c r="Y2" s="17"/>
      <c r="AB2" s="16"/>
      <c r="AC2" s="16"/>
      <c r="AD2" s="17" t="s">
        <v>37</v>
      </c>
      <c r="AE2" s="17"/>
      <c r="AF2" s="17"/>
      <c r="AG2" s="17"/>
      <c r="AH2" s="17"/>
      <c r="AI2" s="17"/>
      <c r="AJ2" s="12"/>
      <c r="AK2" s="17" t="s">
        <v>38</v>
      </c>
      <c r="AL2" s="17"/>
      <c r="AM2" s="17"/>
      <c r="AN2" s="17"/>
      <c r="AO2" s="17"/>
      <c r="AP2" s="17"/>
      <c r="AQ2" s="12"/>
      <c r="AR2" s="17" t="s">
        <v>39</v>
      </c>
      <c r="AS2" s="17"/>
      <c r="AT2" s="12"/>
      <c r="AU2" s="17" t="s">
        <v>40</v>
      </c>
      <c r="AV2" s="17"/>
    </row>
    <row r="3" spans="1:48" x14ac:dyDescent="0.25">
      <c r="A3" s="13" t="s">
        <v>1</v>
      </c>
      <c r="B3" s="13" t="s">
        <v>25</v>
      </c>
      <c r="C3" s="13" t="s">
        <v>26</v>
      </c>
      <c r="D3" s="13" t="s">
        <v>27</v>
      </c>
      <c r="E3" s="13" t="s">
        <v>28</v>
      </c>
      <c r="F3" s="13"/>
      <c r="G3" s="13" t="s">
        <v>29</v>
      </c>
      <c r="H3" s="13" t="s">
        <v>30</v>
      </c>
      <c r="I3" s="15" t="s">
        <v>31</v>
      </c>
      <c r="J3" s="15" t="s">
        <v>32</v>
      </c>
      <c r="K3" s="15" t="s">
        <v>33</v>
      </c>
      <c r="L3" s="13" t="s">
        <v>34</v>
      </c>
      <c r="M3" s="13"/>
      <c r="N3" s="13" t="s">
        <v>29</v>
      </c>
      <c r="O3" s="13" t="s">
        <v>30</v>
      </c>
      <c r="P3" s="15" t="s">
        <v>31</v>
      </c>
      <c r="Q3" s="15" t="s">
        <v>32</v>
      </c>
      <c r="R3" s="15" t="s">
        <v>33</v>
      </c>
      <c r="S3" s="13" t="s">
        <v>34</v>
      </c>
      <c r="T3" s="13"/>
      <c r="U3" s="13" t="s">
        <v>29</v>
      </c>
      <c r="V3" s="13" t="s">
        <v>34</v>
      </c>
      <c r="W3" s="13"/>
      <c r="X3" s="13" t="s">
        <v>35</v>
      </c>
      <c r="Y3" s="13" t="s">
        <v>36</v>
      </c>
      <c r="AB3" s="13" t="s">
        <v>27</v>
      </c>
      <c r="AC3" s="13"/>
      <c r="AD3" s="13" t="s">
        <v>29</v>
      </c>
      <c r="AE3" s="13" t="s">
        <v>30</v>
      </c>
      <c r="AF3" s="15" t="s">
        <v>31</v>
      </c>
      <c r="AG3" s="15" t="s">
        <v>32</v>
      </c>
      <c r="AH3" s="15" t="s">
        <v>33</v>
      </c>
      <c r="AI3" s="13" t="s">
        <v>34</v>
      </c>
      <c r="AJ3" s="13"/>
      <c r="AK3" s="13" t="s">
        <v>29</v>
      </c>
      <c r="AL3" s="13" t="s">
        <v>30</v>
      </c>
      <c r="AM3" s="15" t="s">
        <v>31</v>
      </c>
      <c r="AN3" s="15" t="s">
        <v>32</v>
      </c>
      <c r="AO3" s="15" t="s">
        <v>33</v>
      </c>
      <c r="AP3" s="13" t="s">
        <v>34</v>
      </c>
      <c r="AQ3" s="13"/>
      <c r="AR3" s="13" t="s">
        <v>29</v>
      </c>
      <c r="AS3" s="13" t="s">
        <v>34</v>
      </c>
      <c r="AT3" s="13"/>
      <c r="AU3" s="13" t="s">
        <v>35</v>
      </c>
      <c r="AV3" s="13" t="s">
        <v>36</v>
      </c>
    </row>
    <row r="4" spans="1:48" x14ac:dyDescent="0.25">
      <c r="A4" s="6" t="s">
        <v>51</v>
      </c>
      <c r="B4" s="7">
        <v>32</v>
      </c>
      <c r="C4" s="1">
        <v>6450</v>
      </c>
      <c r="D4" s="9">
        <v>0.45700000000000002</v>
      </c>
      <c r="E4" s="9">
        <v>13</v>
      </c>
      <c r="F4" s="9"/>
      <c r="G4" s="9">
        <v>0.67200000000000004</v>
      </c>
      <c r="H4" s="9">
        <v>0.245</v>
      </c>
      <c r="I4" s="9">
        <v>0.19500000000000001</v>
      </c>
      <c r="J4" s="9">
        <v>0.13200000000000001</v>
      </c>
      <c r="K4" s="9">
        <v>0.1</v>
      </c>
      <c r="L4" s="9">
        <v>0.32800000000000001</v>
      </c>
      <c r="M4" s="9"/>
      <c r="N4" s="9">
        <v>0.49199999999999999</v>
      </c>
      <c r="O4" s="9">
        <v>0.624</v>
      </c>
      <c r="P4" s="9">
        <v>0.443</v>
      </c>
      <c r="Q4" s="9">
        <v>0.40899999999999997</v>
      </c>
      <c r="R4" s="9">
        <v>0.373</v>
      </c>
      <c r="S4" s="9">
        <v>0.38600000000000001</v>
      </c>
      <c r="T4" s="9"/>
      <c r="U4" s="9">
        <v>0.60699999999999998</v>
      </c>
      <c r="V4" s="9">
        <v>0.90700000000000003</v>
      </c>
      <c r="W4" s="9"/>
      <c r="X4" s="10">
        <v>0.19700000000000001</v>
      </c>
      <c r="Y4" s="10">
        <v>0.39400000000000002</v>
      </c>
      <c r="Z4" s="5"/>
      <c r="AA4" s="5"/>
      <c r="AB4" s="5">
        <f t="shared" ref="AB4:AB18" si="0">RANK(D4,D$4:D$18,1)</f>
        <v>10</v>
      </c>
      <c r="AC4" s="5"/>
      <c r="AD4" s="5">
        <f t="shared" ref="AD4:AD18" si="1">RANK(G4,G$4:G$18,1)</f>
        <v>1</v>
      </c>
      <c r="AE4" s="5">
        <f t="shared" ref="AE4:AE18" si="2">RANK(H4,H$4:H$18,1)</f>
        <v>11</v>
      </c>
      <c r="AF4" s="5">
        <f t="shared" ref="AF4:AF18" si="3">RANK(I4,I$4:I$18,1)</f>
        <v>1</v>
      </c>
      <c r="AG4" s="5">
        <f t="shared" ref="AG4:AG18" si="4">RANK(J4,J$4:J$18,1)</f>
        <v>11</v>
      </c>
      <c r="AH4" s="5">
        <f t="shared" ref="AH4:AH18" si="5">RANK(K4,K$4:K$18,1)</f>
        <v>2</v>
      </c>
      <c r="AI4" s="5">
        <f t="shared" ref="AI4:AI18" si="6">RANK(L4,L$4:L$18,1)</f>
        <v>10</v>
      </c>
      <c r="AJ4" s="5"/>
      <c r="AK4" s="5">
        <f t="shared" ref="AK4:AK18" si="7">RANK(N4,N$4:N$18,1)</f>
        <v>9</v>
      </c>
      <c r="AL4" s="5">
        <f t="shared" ref="AL4:AL18" si="8">RANK(O4,O$4:O$18,1)</f>
        <v>5</v>
      </c>
      <c r="AM4" s="5">
        <f t="shared" ref="AM4:AM18" si="9">RANK(P4,P$4:P$18,1)</f>
        <v>9</v>
      </c>
      <c r="AN4" s="5">
        <f t="shared" ref="AN4:AN18" si="10">RANK(Q4,Q$4:Q$18,1)</f>
        <v>11</v>
      </c>
      <c r="AO4" s="5">
        <f t="shared" ref="AO4:AO18" si="11">RANK(R4,R$4:R$18,1)</f>
        <v>5</v>
      </c>
      <c r="AP4" s="5">
        <f t="shared" ref="AP4:AP18" si="12">RANK(S4,S$4:S$18,1)</f>
        <v>12</v>
      </c>
      <c r="AQ4" s="5"/>
      <c r="AR4" s="5">
        <f t="shared" ref="AR4:AR18" si="13">RANK(U4,U$4:U$18,1)</f>
        <v>12</v>
      </c>
      <c r="AS4" s="5">
        <f t="shared" ref="AS4:AS18" si="14">RANK(V4,V$4:V$18,1)</f>
        <v>12</v>
      </c>
      <c r="AT4" s="5"/>
      <c r="AU4" s="5">
        <f>RANK(X4,X$4:X$18,1)</f>
        <v>11</v>
      </c>
      <c r="AV4" s="5">
        <f>RANK(Y4,Y$4:Y$18,1)</f>
        <v>8</v>
      </c>
    </row>
    <row r="5" spans="1:48" x14ac:dyDescent="0.25">
      <c r="A5" s="6" t="s">
        <v>59</v>
      </c>
      <c r="B5" s="7">
        <v>32</v>
      </c>
      <c r="C5" s="1">
        <v>6500</v>
      </c>
      <c r="D5" s="9">
        <v>0.433</v>
      </c>
      <c r="E5" s="9">
        <v>12</v>
      </c>
      <c r="F5" s="9"/>
      <c r="G5" s="9">
        <v>0.73299999999999998</v>
      </c>
      <c r="H5" s="9">
        <v>0.28999999999999998</v>
      </c>
      <c r="I5" s="9">
        <v>0.21099999999999999</v>
      </c>
      <c r="J5" s="9">
        <v>0.10299999999999999</v>
      </c>
      <c r="K5" s="9">
        <v>0.13</v>
      </c>
      <c r="L5" s="9">
        <v>0.26700000000000002</v>
      </c>
      <c r="M5" s="9"/>
      <c r="N5" s="9">
        <v>0.46300000000000002</v>
      </c>
      <c r="O5" s="9">
        <v>0.57499999999999996</v>
      </c>
      <c r="P5" s="9">
        <v>0.439</v>
      </c>
      <c r="Q5" s="9">
        <v>0.34799999999999998</v>
      </c>
      <c r="R5" s="9">
        <v>0.34100000000000003</v>
      </c>
      <c r="S5" s="9">
        <v>0.35199999999999998</v>
      </c>
      <c r="T5" s="9"/>
      <c r="U5" s="9">
        <v>0.57599999999999996</v>
      </c>
      <c r="V5" s="9">
        <v>0.79500000000000004</v>
      </c>
      <c r="W5" s="9"/>
      <c r="X5" s="10">
        <v>0.188</v>
      </c>
      <c r="Y5" s="10">
        <v>0.29499999999999998</v>
      </c>
      <c r="Z5" s="5"/>
      <c r="AA5" s="5"/>
      <c r="AB5" s="5">
        <f t="shared" si="0"/>
        <v>7</v>
      </c>
      <c r="AC5" s="5"/>
      <c r="AD5" s="5">
        <f t="shared" si="1"/>
        <v>12</v>
      </c>
      <c r="AE5" s="5">
        <f t="shared" si="2"/>
        <v>12</v>
      </c>
      <c r="AF5" s="5">
        <f t="shared" si="3"/>
        <v>5</v>
      </c>
      <c r="AG5" s="5">
        <f t="shared" si="4"/>
        <v>1</v>
      </c>
      <c r="AH5" s="5">
        <f t="shared" si="5"/>
        <v>6</v>
      </c>
      <c r="AI5" s="5">
        <f t="shared" si="6"/>
        <v>1</v>
      </c>
      <c r="AJ5" s="5"/>
      <c r="AK5" s="5">
        <f t="shared" si="7"/>
        <v>5</v>
      </c>
      <c r="AL5" s="5">
        <f t="shared" si="8"/>
        <v>1</v>
      </c>
      <c r="AM5" s="5">
        <f t="shared" si="9"/>
        <v>7</v>
      </c>
      <c r="AN5" s="5">
        <f t="shared" si="10"/>
        <v>3</v>
      </c>
      <c r="AO5" s="5">
        <f t="shared" si="11"/>
        <v>3</v>
      </c>
      <c r="AP5" s="5">
        <f t="shared" si="12"/>
        <v>9</v>
      </c>
      <c r="AQ5" s="5"/>
      <c r="AR5" s="5">
        <f t="shared" si="13"/>
        <v>8</v>
      </c>
      <c r="AS5" s="5">
        <f t="shared" si="14"/>
        <v>1</v>
      </c>
      <c r="AT5" s="5"/>
      <c r="AU5" s="5">
        <f t="shared" ref="AU5:AU18" si="15">RANK(X5,X$4:X$18,1)</f>
        <v>10</v>
      </c>
      <c r="AV5" s="5">
        <f t="shared" ref="AV5:AV18" si="16">RANK(Y5,Y$4:Y$18,1)</f>
        <v>1</v>
      </c>
    </row>
    <row r="6" spans="1:48" x14ac:dyDescent="0.25">
      <c r="A6" s="6" t="s">
        <v>54</v>
      </c>
      <c r="B6" s="7">
        <v>32</v>
      </c>
      <c r="C6" s="1">
        <v>6450</v>
      </c>
      <c r="D6" s="9">
        <v>0.40899999999999997</v>
      </c>
      <c r="E6" s="9">
        <v>13</v>
      </c>
      <c r="F6" s="9"/>
      <c r="G6" s="9">
        <v>0.67600000000000005</v>
      </c>
      <c r="H6" s="9">
        <v>0.23</v>
      </c>
      <c r="I6" s="9">
        <v>0.20300000000000001</v>
      </c>
      <c r="J6" s="9">
        <v>0.121</v>
      </c>
      <c r="K6" s="9">
        <v>0.122</v>
      </c>
      <c r="L6" s="9">
        <v>0.32400000000000001</v>
      </c>
      <c r="M6" s="9"/>
      <c r="N6" s="9">
        <v>0.45600000000000002</v>
      </c>
      <c r="O6" s="9">
        <v>0.57999999999999996</v>
      </c>
      <c r="P6" s="9">
        <v>0.42099999999999999</v>
      </c>
      <c r="Q6" s="9">
        <v>0.39400000000000002</v>
      </c>
      <c r="R6" s="9">
        <v>0.34200000000000003</v>
      </c>
      <c r="S6" s="9">
        <v>0.31</v>
      </c>
      <c r="T6" s="9"/>
      <c r="U6" s="9">
        <v>0.58099999999999996</v>
      </c>
      <c r="V6" s="9">
        <v>0.89100000000000001</v>
      </c>
      <c r="W6" s="9"/>
      <c r="X6" s="10">
        <v>0.16400000000000001</v>
      </c>
      <c r="Y6" s="10">
        <v>0.36799999999999999</v>
      </c>
      <c r="Z6" s="5"/>
      <c r="AA6" s="5"/>
      <c r="AB6" s="5">
        <f t="shared" si="0"/>
        <v>1</v>
      </c>
      <c r="AC6" s="5"/>
      <c r="AD6" s="5">
        <f t="shared" si="1"/>
        <v>4</v>
      </c>
      <c r="AE6" s="5">
        <f t="shared" si="2"/>
        <v>7</v>
      </c>
      <c r="AF6" s="5">
        <f t="shared" si="3"/>
        <v>4</v>
      </c>
      <c r="AG6" s="5">
        <f t="shared" si="4"/>
        <v>7</v>
      </c>
      <c r="AH6" s="5">
        <f t="shared" si="5"/>
        <v>5</v>
      </c>
      <c r="AI6" s="5">
        <f t="shared" si="6"/>
        <v>8</v>
      </c>
      <c r="AJ6" s="5"/>
      <c r="AK6" s="5">
        <f t="shared" si="7"/>
        <v>1</v>
      </c>
      <c r="AL6" s="5">
        <f t="shared" si="8"/>
        <v>2</v>
      </c>
      <c r="AM6" s="5">
        <f t="shared" si="9"/>
        <v>4</v>
      </c>
      <c r="AN6" s="5">
        <f t="shared" si="10"/>
        <v>9</v>
      </c>
      <c r="AO6" s="5">
        <f t="shared" si="11"/>
        <v>4</v>
      </c>
      <c r="AP6" s="5">
        <f t="shared" si="12"/>
        <v>2</v>
      </c>
      <c r="AQ6" s="5"/>
      <c r="AR6" s="5">
        <f t="shared" si="13"/>
        <v>9</v>
      </c>
      <c r="AS6" s="5">
        <f t="shared" si="14"/>
        <v>11</v>
      </c>
      <c r="AT6" s="5"/>
      <c r="AU6" s="5">
        <f t="shared" si="15"/>
        <v>8</v>
      </c>
      <c r="AV6" s="5">
        <f t="shared" si="16"/>
        <v>6</v>
      </c>
    </row>
    <row r="7" spans="1:48" x14ac:dyDescent="0.25">
      <c r="A7" s="6" t="s">
        <v>60</v>
      </c>
      <c r="B7" s="7">
        <v>32</v>
      </c>
      <c r="C7" s="1">
        <v>6450</v>
      </c>
      <c r="D7" s="9">
        <v>0.44900000000000001</v>
      </c>
      <c r="E7" s="9">
        <v>13</v>
      </c>
      <c r="F7" s="9"/>
      <c r="G7" s="9">
        <v>0.67200000000000004</v>
      </c>
      <c r="H7" s="9">
        <v>0.23100000000000001</v>
      </c>
      <c r="I7" s="9">
        <v>0.23599999999999999</v>
      </c>
      <c r="J7" s="9">
        <v>0.107</v>
      </c>
      <c r="K7" s="9">
        <v>9.8000000000000004E-2</v>
      </c>
      <c r="L7" s="9">
        <v>0.32800000000000001</v>
      </c>
      <c r="M7" s="9"/>
      <c r="N7" s="9">
        <v>0.503</v>
      </c>
      <c r="O7" s="9">
        <v>0.66700000000000004</v>
      </c>
      <c r="P7" s="9">
        <v>0.44700000000000001</v>
      </c>
      <c r="Q7" s="9">
        <v>0.39100000000000001</v>
      </c>
      <c r="R7" s="9">
        <v>0.374</v>
      </c>
      <c r="S7" s="9">
        <v>0.33900000000000002</v>
      </c>
      <c r="T7" s="9"/>
      <c r="U7" s="9">
        <v>0.59699999999999998</v>
      </c>
      <c r="V7" s="9">
        <v>0.88300000000000001</v>
      </c>
      <c r="W7" s="9"/>
      <c r="X7" s="10">
        <v>0.155</v>
      </c>
      <c r="Y7" s="10">
        <v>0.33</v>
      </c>
      <c r="Z7" s="5"/>
      <c r="AA7" s="5"/>
      <c r="AB7" s="5">
        <f t="shared" si="0"/>
        <v>9</v>
      </c>
      <c r="AC7" s="5"/>
      <c r="AD7" s="5">
        <f t="shared" si="1"/>
        <v>1</v>
      </c>
      <c r="AE7" s="5">
        <f t="shared" si="2"/>
        <v>8</v>
      </c>
      <c r="AF7" s="5">
        <f t="shared" si="3"/>
        <v>7</v>
      </c>
      <c r="AG7" s="5">
        <f t="shared" si="4"/>
        <v>3</v>
      </c>
      <c r="AH7" s="5">
        <f t="shared" si="5"/>
        <v>1</v>
      </c>
      <c r="AI7" s="5">
        <f t="shared" si="6"/>
        <v>10</v>
      </c>
      <c r="AJ7" s="5"/>
      <c r="AK7" s="5">
        <f t="shared" si="7"/>
        <v>12</v>
      </c>
      <c r="AL7" s="5">
        <f t="shared" si="8"/>
        <v>9</v>
      </c>
      <c r="AM7" s="5">
        <f t="shared" si="9"/>
        <v>11</v>
      </c>
      <c r="AN7" s="5">
        <f t="shared" si="10"/>
        <v>8</v>
      </c>
      <c r="AO7" s="5">
        <f t="shared" si="11"/>
        <v>7</v>
      </c>
      <c r="AP7" s="5">
        <f t="shared" si="12"/>
        <v>5</v>
      </c>
      <c r="AQ7" s="5"/>
      <c r="AR7" s="5">
        <f t="shared" si="13"/>
        <v>11</v>
      </c>
      <c r="AS7" s="5">
        <f t="shared" si="14"/>
        <v>9</v>
      </c>
      <c r="AT7" s="5"/>
      <c r="AU7" s="5">
        <f t="shared" si="15"/>
        <v>5</v>
      </c>
      <c r="AV7" s="5">
        <f t="shared" si="16"/>
        <v>3</v>
      </c>
    </row>
    <row r="8" spans="1:48" x14ac:dyDescent="0.25">
      <c r="A8" s="6" t="s">
        <v>53</v>
      </c>
      <c r="B8" s="7">
        <v>32</v>
      </c>
      <c r="C8" s="1">
        <v>6400</v>
      </c>
      <c r="D8" s="9">
        <v>0.45900000000000002</v>
      </c>
      <c r="E8" s="9">
        <v>13</v>
      </c>
      <c r="F8" s="9"/>
      <c r="G8" s="9">
        <v>0.68899999999999995</v>
      </c>
      <c r="H8" s="9">
        <v>0.24199999999999999</v>
      </c>
      <c r="I8" s="9">
        <v>0.19900000000000001</v>
      </c>
      <c r="J8" s="9">
        <v>0.112</v>
      </c>
      <c r="K8" s="9">
        <v>0.13600000000000001</v>
      </c>
      <c r="L8" s="9">
        <v>0.311</v>
      </c>
      <c r="M8" s="9"/>
      <c r="N8" s="9">
        <v>0.498</v>
      </c>
      <c r="O8" s="9">
        <v>0.63800000000000001</v>
      </c>
      <c r="P8" s="9">
        <v>0.44400000000000001</v>
      </c>
      <c r="Q8" s="9">
        <v>0.443</v>
      </c>
      <c r="R8" s="9">
        <v>0.373</v>
      </c>
      <c r="S8" s="9">
        <v>0.372</v>
      </c>
      <c r="T8" s="9"/>
      <c r="U8" s="9">
        <v>0.59499999999999997</v>
      </c>
      <c r="V8" s="9">
        <v>0.82499999999999996</v>
      </c>
      <c r="W8" s="9"/>
      <c r="X8" s="10">
        <v>0.157</v>
      </c>
      <c r="Y8" s="10">
        <v>0.434</v>
      </c>
      <c r="Z8" s="5"/>
      <c r="AA8" s="5"/>
      <c r="AB8" s="5">
        <f t="shared" si="0"/>
        <v>11</v>
      </c>
      <c r="AC8" s="5"/>
      <c r="AD8" s="5">
        <f t="shared" si="1"/>
        <v>6</v>
      </c>
      <c r="AE8" s="5">
        <f t="shared" si="2"/>
        <v>10</v>
      </c>
      <c r="AF8" s="5">
        <f t="shared" si="3"/>
        <v>2</v>
      </c>
      <c r="AG8" s="5">
        <f t="shared" si="4"/>
        <v>5</v>
      </c>
      <c r="AH8" s="5">
        <f t="shared" si="5"/>
        <v>9</v>
      </c>
      <c r="AI8" s="5">
        <f t="shared" si="6"/>
        <v>7</v>
      </c>
      <c r="AJ8" s="5"/>
      <c r="AK8" s="5">
        <f t="shared" si="7"/>
        <v>10</v>
      </c>
      <c r="AL8" s="5">
        <f t="shared" si="8"/>
        <v>6</v>
      </c>
      <c r="AM8" s="5">
        <f t="shared" si="9"/>
        <v>10</v>
      </c>
      <c r="AN8" s="5">
        <f t="shared" si="10"/>
        <v>12</v>
      </c>
      <c r="AO8" s="5">
        <f t="shared" si="11"/>
        <v>5</v>
      </c>
      <c r="AP8" s="5">
        <f t="shared" si="12"/>
        <v>10</v>
      </c>
      <c r="AQ8" s="5"/>
      <c r="AR8" s="5">
        <f t="shared" si="13"/>
        <v>10</v>
      </c>
      <c r="AS8" s="5">
        <f t="shared" si="14"/>
        <v>3</v>
      </c>
      <c r="AT8" s="5"/>
      <c r="AU8" s="5">
        <f t="shared" si="15"/>
        <v>6</v>
      </c>
      <c r="AV8" s="5">
        <f t="shared" si="16"/>
        <v>11</v>
      </c>
    </row>
    <row r="9" spans="1:48" x14ac:dyDescent="0.25">
      <c r="A9" s="6" t="s">
        <v>50</v>
      </c>
      <c r="B9" s="7">
        <v>32</v>
      </c>
      <c r="C9" s="1">
        <v>6450</v>
      </c>
      <c r="D9" s="9">
        <v>0.41899999999999998</v>
      </c>
      <c r="E9" s="9">
        <v>14</v>
      </c>
      <c r="F9" s="9"/>
      <c r="G9" s="9">
        <v>0.67200000000000004</v>
      </c>
      <c r="H9" s="9">
        <v>0.2</v>
      </c>
      <c r="I9" s="9">
        <v>0.23100000000000001</v>
      </c>
      <c r="J9" s="9">
        <v>0.12</v>
      </c>
      <c r="K9" s="9">
        <v>0.121</v>
      </c>
      <c r="L9" s="9">
        <v>0.32800000000000001</v>
      </c>
      <c r="M9" s="9"/>
      <c r="N9" s="9">
        <v>0.45700000000000002</v>
      </c>
      <c r="O9" s="9">
        <v>0.66700000000000004</v>
      </c>
      <c r="P9" s="9">
        <v>0.39100000000000001</v>
      </c>
      <c r="Q9" s="9">
        <v>0.36199999999999999</v>
      </c>
      <c r="R9" s="9">
        <v>0.32800000000000001</v>
      </c>
      <c r="S9" s="9">
        <v>0.34300000000000003</v>
      </c>
      <c r="T9" s="9"/>
      <c r="U9" s="9">
        <v>0.52800000000000002</v>
      </c>
      <c r="V9" s="9">
        <v>0.88600000000000001</v>
      </c>
      <c r="W9" s="9"/>
      <c r="X9" s="10">
        <v>0.20799999999999999</v>
      </c>
      <c r="Y9" s="10">
        <v>0.35499999999999998</v>
      </c>
      <c r="Z9" s="5"/>
      <c r="AA9" s="5"/>
      <c r="AB9" s="5">
        <f t="shared" si="0"/>
        <v>4</v>
      </c>
      <c r="AC9" s="5"/>
      <c r="AD9" s="5">
        <f t="shared" si="1"/>
        <v>1</v>
      </c>
      <c r="AE9" s="5">
        <f t="shared" si="2"/>
        <v>4</v>
      </c>
      <c r="AF9" s="5">
        <f t="shared" si="3"/>
        <v>6</v>
      </c>
      <c r="AG9" s="5">
        <f t="shared" si="4"/>
        <v>6</v>
      </c>
      <c r="AH9" s="5">
        <f t="shared" si="5"/>
        <v>3</v>
      </c>
      <c r="AI9" s="5">
        <f t="shared" si="6"/>
        <v>10</v>
      </c>
      <c r="AJ9" s="5"/>
      <c r="AK9" s="5">
        <f t="shared" si="7"/>
        <v>2</v>
      </c>
      <c r="AL9" s="5">
        <f t="shared" si="8"/>
        <v>9</v>
      </c>
      <c r="AM9" s="5">
        <f t="shared" si="9"/>
        <v>2</v>
      </c>
      <c r="AN9" s="5">
        <f t="shared" si="10"/>
        <v>5</v>
      </c>
      <c r="AO9" s="5">
        <f t="shared" si="11"/>
        <v>1</v>
      </c>
      <c r="AP9" s="5">
        <f t="shared" si="12"/>
        <v>7</v>
      </c>
      <c r="AQ9" s="5"/>
      <c r="AR9" s="5">
        <f t="shared" si="13"/>
        <v>2</v>
      </c>
      <c r="AS9" s="5">
        <f t="shared" si="14"/>
        <v>10</v>
      </c>
      <c r="AT9" s="5"/>
      <c r="AU9" s="5">
        <f t="shared" si="15"/>
        <v>12</v>
      </c>
      <c r="AV9" s="5">
        <f t="shared" si="16"/>
        <v>4</v>
      </c>
    </row>
    <row r="10" spans="1:48" x14ac:dyDescent="0.25">
      <c r="A10" s="6" t="s">
        <v>55</v>
      </c>
      <c r="B10" s="7">
        <v>32</v>
      </c>
      <c r="C10" s="1">
        <v>6475</v>
      </c>
      <c r="D10" s="9">
        <v>0.41499999999999998</v>
      </c>
      <c r="E10" s="9">
        <v>14</v>
      </c>
      <c r="F10" s="9"/>
      <c r="G10" s="9">
        <v>0.67600000000000005</v>
      </c>
      <c r="H10" s="9">
        <v>0.14499999999999999</v>
      </c>
      <c r="I10" s="9">
        <v>0.251</v>
      </c>
      <c r="J10" s="9">
        <v>0.13100000000000001</v>
      </c>
      <c r="K10" s="9">
        <v>0.14899999999999999</v>
      </c>
      <c r="L10" s="9">
        <v>0.32400000000000001</v>
      </c>
      <c r="M10" s="9"/>
      <c r="N10" s="9">
        <v>0.46700000000000003</v>
      </c>
      <c r="O10" s="9">
        <v>0.67400000000000004</v>
      </c>
      <c r="P10" s="9">
        <v>0.435</v>
      </c>
      <c r="Q10" s="9">
        <v>0.40100000000000002</v>
      </c>
      <c r="R10" s="9">
        <v>0.377</v>
      </c>
      <c r="S10" s="9">
        <v>0.30599999999999999</v>
      </c>
      <c r="T10" s="9"/>
      <c r="U10" s="9">
        <v>0.57499999999999996</v>
      </c>
      <c r="V10" s="9">
        <v>0.84499999999999997</v>
      </c>
      <c r="W10" s="9"/>
      <c r="X10" s="10">
        <v>0.124</v>
      </c>
      <c r="Y10" s="10">
        <v>0.41499999999999998</v>
      </c>
      <c r="Z10" s="5"/>
      <c r="AA10" s="5"/>
      <c r="AB10" s="5">
        <f t="shared" si="0"/>
        <v>2</v>
      </c>
      <c r="AC10" s="5"/>
      <c r="AD10" s="5">
        <f t="shared" si="1"/>
        <v>4</v>
      </c>
      <c r="AE10" s="5">
        <f t="shared" si="2"/>
        <v>1</v>
      </c>
      <c r="AF10" s="5">
        <f t="shared" si="3"/>
        <v>10</v>
      </c>
      <c r="AG10" s="5">
        <f t="shared" si="4"/>
        <v>10</v>
      </c>
      <c r="AH10" s="5">
        <f t="shared" si="5"/>
        <v>12</v>
      </c>
      <c r="AI10" s="5">
        <f t="shared" si="6"/>
        <v>8</v>
      </c>
      <c r="AJ10" s="5"/>
      <c r="AK10" s="5">
        <f t="shared" si="7"/>
        <v>6</v>
      </c>
      <c r="AL10" s="5">
        <f t="shared" si="8"/>
        <v>11</v>
      </c>
      <c r="AM10" s="5">
        <f t="shared" si="9"/>
        <v>6</v>
      </c>
      <c r="AN10" s="5">
        <f t="shared" si="10"/>
        <v>10</v>
      </c>
      <c r="AO10" s="5">
        <f t="shared" si="11"/>
        <v>8</v>
      </c>
      <c r="AP10" s="5">
        <f t="shared" si="12"/>
        <v>1</v>
      </c>
      <c r="AQ10" s="5"/>
      <c r="AR10" s="5">
        <f t="shared" si="13"/>
        <v>7</v>
      </c>
      <c r="AS10" s="5">
        <f t="shared" si="14"/>
        <v>5</v>
      </c>
      <c r="AT10" s="5"/>
      <c r="AU10" s="5">
        <f t="shared" si="15"/>
        <v>3</v>
      </c>
      <c r="AV10" s="5">
        <f t="shared" si="16"/>
        <v>9</v>
      </c>
    </row>
    <row r="11" spans="1:48" x14ac:dyDescent="0.25">
      <c r="A11" s="6" t="s">
        <v>57</v>
      </c>
      <c r="B11" s="7">
        <v>32</v>
      </c>
      <c r="C11" s="1">
        <v>6450</v>
      </c>
      <c r="D11" s="9">
        <v>0.42399999999999999</v>
      </c>
      <c r="E11" s="9">
        <v>13</v>
      </c>
      <c r="F11" s="9"/>
      <c r="G11" s="9">
        <v>0.69599999999999995</v>
      </c>
      <c r="H11" s="9">
        <v>0.24</v>
      </c>
      <c r="I11" s="9">
        <v>0.20100000000000001</v>
      </c>
      <c r="J11" s="9">
        <v>0.126</v>
      </c>
      <c r="K11" s="9">
        <v>0.13</v>
      </c>
      <c r="L11" s="9">
        <v>0.30399999999999999</v>
      </c>
      <c r="M11" s="9"/>
      <c r="N11" s="9">
        <v>0.45800000000000002</v>
      </c>
      <c r="O11" s="9">
        <v>0.622</v>
      </c>
      <c r="P11" s="9">
        <v>0.38300000000000001</v>
      </c>
      <c r="Q11" s="9">
        <v>0.34100000000000003</v>
      </c>
      <c r="R11" s="9">
        <v>0.38100000000000001</v>
      </c>
      <c r="S11" s="9">
        <v>0.34599999999999997</v>
      </c>
      <c r="T11" s="9"/>
      <c r="U11" s="9">
        <v>0.54400000000000004</v>
      </c>
      <c r="V11" s="9">
        <v>0.86099999999999999</v>
      </c>
      <c r="W11" s="9"/>
      <c r="X11" s="10">
        <v>0.16900000000000001</v>
      </c>
      <c r="Y11" s="10">
        <v>0.45100000000000001</v>
      </c>
      <c r="Z11" s="5"/>
      <c r="AA11" s="5"/>
      <c r="AB11" s="5">
        <f t="shared" si="0"/>
        <v>5</v>
      </c>
      <c r="AC11" s="5"/>
      <c r="AD11" s="5">
        <f t="shared" si="1"/>
        <v>8</v>
      </c>
      <c r="AE11" s="5">
        <f t="shared" si="2"/>
        <v>9</v>
      </c>
      <c r="AF11" s="5">
        <f t="shared" si="3"/>
        <v>3</v>
      </c>
      <c r="AG11" s="5">
        <f t="shared" si="4"/>
        <v>8</v>
      </c>
      <c r="AH11" s="5">
        <f t="shared" si="5"/>
        <v>6</v>
      </c>
      <c r="AI11" s="5">
        <f t="shared" si="6"/>
        <v>5</v>
      </c>
      <c r="AJ11" s="5"/>
      <c r="AK11" s="5">
        <f t="shared" si="7"/>
        <v>3</v>
      </c>
      <c r="AL11" s="5">
        <f t="shared" si="8"/>
        <v>4</v>
      </c>
      <c r="AM11" s="5">
        <f t="shared" si="9"/>
        <v>1</v>
      </c>
      <c r="AN11" s="5">
        <f t="shared" si="10"/>
        <v>1</v>
      </c>
      <c r="AO11" s="5">
        <f t="shared" si="11"/>
        <v>9</v>
      </c>
      <c r="AP11" s="5">
        <f t="shared" si="12"/>
        <v>8</v>
      </c>
      <c r="AQ11" s="5"/>
      <c r="AR11" s="5">
        <f t="shared" si="13"/>
        <v>3</v>
      </c>
      <c r="AS11" s="5">
        <f t="shared" si="14"/>
        <v>7</v>
      </c>
      <c r="AT11" s="5"/>
      <c r="AU11" s="5">
        <f t="shared" si="15"/>
        <v>9</v>
      </c>
      <c r="AV11" s="5">
        <f t="shared" si="16"/>
        <v>12</v>
      </c>
    </row>
    <row r="12" spans="1:48" x14ac:dyDescent="0.25">
      <c r="A12" s="6" t="s">
        <v>61</v>
      </c>
      <c r="B12" s="7">
        <v>32</v>
      </c>
      <c r="C12" s="1">
        <v>6425</v>
      </c>
      <c r="D12" s="9">
        <v>0.438</v>
      </c>
      <c r="E12" s="9">
        <v>13</v>
      </c>
      <c r="F12" s="9"/>
      <c r="G12" s="9">
        <v>0.70399999999999996</v>
      </c>
      <c r="H12" s="9">
        <v>0.223</v>
      </c>
      <c r="I12" s="9">
        <v>0.255</v>
      </c>
      <c r="J12" s="9">
        <v>0.105</v>
      </c>
      <c r="K12" s="9">
        <v>0.121</v>
      </c>
      <c r="L12" s="9">
        <v>0.29599999999999999</v>
      </c>
      <c r="M12" s="9"/>
      <c r="N12" s="9">
        <v>0.48299999999999998</v>
      </c>
      <c r="O12" s="9">
        <v>0.64400000000000002</v>
      </c>
      <c r="P12" s="9">
        <v>0.432</v>
      </c>
      <c r="Q12" s="9">
        <v>0.35699999999999998</v>
      </c>
      <c r="R12" s="9">
        <v>0.40200000000000002</v>
      </c>
      <c r="S12" s="9">
        <v>0.33300000000000002</v>
      </c>
      <c r="T12" s="9"/>
      <c r="U12" s="9">
        <v>0.56000000000000005</v>
      </c>
      <c r="V12" s="9">
        <v>0.84299999999999997</v>
      </c>
      <c r="W12" s="9"/>
      <c r="X12" s="10">
        <v>0.109</v>
      </c>
      <c r="Y12" s="10">
        <v>0.36</v>
      </c>
      <c r="Z12" s="5"/>
      <c r="AA12" s="5"/>
      <c r="AB12" s="5">
        <f t="shared" si="0"/>
        <v>8</v>
      </c>
      <c r="AC12" s="5"/>
      <c r="AD12" s="5">
        <f t="shared" si="1"/>
        <v>11</v>
      </c>
      <c r="AE12" s="5">
        <f t="shared" si="2"/>
        <v>6</v>
      </c>
      <c r="AF12" s="5">
        <f t="shared" si="3"/>
        <v>11</v>
      </c>
      <c r="AG12" s="5">
        <f t="shared" si="4"/>
        <v>2</v>
      </c>
      <c r="AH12" s="5">
        <f t="shared" si="5"/>
        <v>3</v>
      </c>
      <c r="AI12" s="5">
        <f t="shared" si="6"/>
        <v>2</v>
      </c>
      <c r="AJ12" s="5"/>
      <c r="AK12" s="5">
        <f t="shared" si="7"/>
        <v>8</v>
      </c>
      <c r="AL12" s="5">
        <f t="shared" si="8"/>
        <v>7</v>
      </c>
      <c r="AM12" s="5">
        <f t="shared" si="9"/>
        <v>5</v>
      </c>
      <c r="AN12" s="5">
        <f t="shared" si="10"/>
        <v>4</v>
      </c>
      <c r="AO12" s="5">
        <f t="shared" si="11"/>
        <v>11</v>
      </c>
      <c r="AP12" s="5">
        <f t="shared" si="12"/>
        <v>4</v>
      </c>
      <c r="AQ12" s="5"/>
      <c r="AR12" s="5">
        <f t="shared" si="13"/>
        <v>5</v>
      </c>
      <c r="AS12" s="5">
        <f t="shared" si="14"/>
        <v>4</v>
      </c>
      <c r="AT12" s="5"/>
      <c r="AU12" s="5">
        <f t="shared" si="15"/>
        <v>2</v>
      </c>
      <c r="AV12" s="5">
        <f t="shared" si="16"/>
        <v>5</v>
      </c>
    </row>
    <row r="13" spans="1:48" x14ac:dyDescent="0.25">
      <c r="A13" s="6" t="s">
        <v>58</v>
      </c>
      <c r="B13" s="7">
        <v>32</v>
      </c>
      <c r="C13" s="1">
        <v>6450</v>
      </c>
      <c r="D13" s="9">
        <v>0.41699999999999998</v>
      </c>
      <c r="E13" s="9">
        <v>14</v>
      </c>
      <c r="F13" s="9"/>
      <c r="G13" s="9">
        <v>0.69499999999999995</v>
      </c>
      <c r="H13" s="9">
        <v>0.19600000000000001</v>
      </c>
      <c r="I13" s="9">
        <v>0.23599999999999999</v>
      </c>
      <c r="J13" s="9">
        <v>0.126</v>
      </c>
      <c r="K13" s="9">
        <v>0.13700000000000001</v>
      </c>
      <c r="L13" s="9">
        <v>0.30499999999999999</v>
      </c>
      <c r="M13" s="9"/>
      <c r="N13" s="9">
        <v>0.45900000000000002</v>
      </c>
      <c r="O13" s="9">
        <v>0.58099999999999996</v>
      </c>
      <c r="P13" s="9">
        <v>0.439</v>
      </c>
      <c r="Q13" s="9">
        <v>0.36299999999999999</v>
      </c>
      <c r="R13" s="9">
        <v>0.40699999999999997</v>
      </c>
      <c r="S13" s="9">
        <v>0.32200000000000001</v>
      </c>
      <c r="T13" s="9"/>
      <c r="U13" s="9">
        <v>0.48799999999999999</v>
      </c>
      <c r="V13" s="9">
        <v>0.81899999999999995</v>
      </c>
      <c r="W13" s="9"/>
      <c r="X13" s="10">
        <v>9.4E-2</v>
      </c>
      <c r="Y13" s="10">
        <v>0.318</v>
      </c>
      <c r="Z13" s="5"/>
      <c r="AA13" s="5"/>
      <c r="AB13" s="5">
        <f t="shared" si="0"/>
        <v>3</v>
      </c>
      <c r="AC13" s="5"/>
      <c r="AD13" s="5">
        <f t="shared" si="1"/>
        <v>7</v>
      </c>
      <c r="AE13" s="5">
        <f t="shared" si="2"/>
        <v>3</v>
      </c>
      <c r="AF13" s="5">
        <f t="shared" si="3"/>
        <v>7</v>
      </c>
      <c r="AG13" s="5">
        <f t="shared" si="4"/>
        <v>8</v>
      </c>
      <c r="AH13" s="5">
        <f t="shared" si="5"/>
        <v>10</v>
      </c>
      <c r="AI13" s="5">
        <f t="shared" si="6"/>
        <v>6</v>
      </c>
      <c r="AJ13" s="5"/>
      <c r="AK13" s="5">
        <f t="shared" si="7"/>
        <v>4</v>
      </c>
      <c r="AL13" s="5">
        <f t="shared" si="8"/>
        <v>3</v>
      </c>
      <c r="AM13" s="5">
        <f t="shared" si="9"/>
        <v>7</v>
      </c>
      <c r="AN13" s="5">
        <f t="shared" si="10"/>
        <v>6</v>
      </c>
      <c r="AO13" s="5">
        <f t="shared" si="11"/>
        <v>12</v>
      </c>
      <c r="AP13" s="5">
        <f t="shared" si="12"/>
        <v>3</v>
      </c>
      <c r="AQ13" s="5"/>
      <c r="AR13" s="5">
        <f t="shared" si="13"/>
        <v>1</v>
      </c>
      <c r="AS13" s="5">
        <f t="shared" si="14"/>
        <v>2</v>
      </c>
      <c r="AT13" s="5"/>
      <c r="AU13" s="5">
        <f t="shared" si="15"/>
        <v>1</v>
      </c>
      <c r="AV13" s="5">
        <f t="shared" si="16"/>
        <v>2</v>
      </c>
    </row>
    <row r="14" spans="1:48" x14ac:dyDescent="0.25">
      <c r="A14" s="6" t="s">
        <v>56</v>
      </c>
      <c r="B14" s="7">
        <v>32</v>
      </c>
      <c r="C14" s="1">
        <v>6525</v>
      </c>
      <c r="D14" s="9">
        <v>0.43099999999999999</v>
      </c>
      <c r="E14" s="9">
        <v>14</v>
      </c>
      <c r="F14" s="9"/>
      <c r="G14" s="9">
        <v>0.69899999999999995</v>
      </c>
      <c r="H14" s="9">
        <v>0.20599999999999999</v>
      </c>
      <c r="I14" s="9">
        <v>0.24199999999999999</v>
      </c>
      <c r="J14" s="9">
        <v>0.111</v>
      </c>
      <c r="K14" s="9">
        <v>0.14000000000000001</v>
      </c>
      <c r="L14" s="9">
        <v>0.30099999999999999</v>
      </c>
      <c r="M14" s="9"/>
      <c r="N14" s="9">
        <v>0.47099999999999997</v>
      </c>
      <c r="O14" s="9">
        <v>0.65800000000000003</v>
      </c>
      <c r="P14" s="9">
        <v>0.42</v>
      </c>
      <c r="Q14" s="9">
        <v>0.34399999999999997</v>
      </c>
      <c r="R14" s="9">
        <v>0.38400000000000001</v>
      </c>
      <c r="S14" s="9">
        <v>0.34</v>
      </c>
      <c r="T14" s="9"/>
      <c r="U14" s="9">
        <v>0.57199999999999995</v>
      </c>
      <c r="V14" s="9">
        <v>0.86499999999999999</v>
      </c>
      <c r="W14" s="9"/>
      <c r="X14" s="10">
        <v>0.124</v>
      </c>
      <c r="Y14" s="10">
        <v>0.39300000000000002</v>
      </c>
      <c r="Z14" s="5"/>
      <c r="AA14" s="5"/>
      <c r="AB14" s="5">
        <f t="shared" si="0"/>
        <v>6</v>
      </c>
      <c r="AC14" s="5"/>
      <c r="AD14" s="5">
        <f t="shared" si="1"/>
        <v>10</v>
      </c>
      <c r="AE14" s="5">
        <f t="shared" si="2"/>
        <v>5</v>
      </c>
      <c r="AF14" s="5">
        <f t="shared" si="3"/>
        <v>9</v>
      </c>
      <c r="AG14" s="5">
        <f t="shared" si="4"/>
        <v>4</v>
      </c>
      <c r="AH14" s="5">
        <f t="shared" si="5"/>
        <v>11</v>
      </c>
      <c r="AI14" s="5">
        <f t="shared" si="6"/>
        <v>3</v>
      </c>
      <c r="AJ14" s="5"/>
      <c r="AK14" s="5">
        <f t="shared" si="7"/>
        <v>7</v>
      </c>
      <c r="AL14" s="5">
        <f t="shared" si="8"/>
        <v>8</v>
      </c>
      <c r="AM14" s="5">
        <f t="shared" si="9"/>
        <v>3</v>
      </c>
      <c r="AN14" s="5">
        <f t="shared" si="10"/>
        <v>2</v>
      </c>
      <c r="AO14" s="5">
        <f t="shared" si="11"/>
        <v>10</v>
      </c>
      <c r="AP14" s="5">
        <f t="shared" si="12"/>
        <v>6</v>
      </c>
      <c r="AQ14" s="5"/>
      <c r="AR14" s="5">
        <f t="shared" si="13"/>
        <v>6</v>
      </c>
      <c r="AS14" s="5">
        <f t="shared" si="14"/>
        <v>8</v>
      </c>
      <c r="AT14" s="5"/>
      <c r="AU14" s="5">
        <f t="shared" si="15"/>
        <v>3</v>
      </c>
      <c r="AV14" s="5">
        <f t="shared" si="16"/>
        <v>7</v>
      </c>
    </row>
    <row r="15" spans="1:48" x14ac:dyDescent="0.25">
      <c r="A15" s="6" t="s">
        <v>49</v>
      </c>
      <c r="B15" s="7">
        <v>32</v>
      </c>
      <c r="C15" s="1">
        <v>6425</v>
      </c>
      <c r="D15" s="9">
        <v>0.46300000000000002</v>
      </c>
      <c r="E15" s="9">
        <v>14</v>
      </c>
      <c r="F15" s="9"/>
      <c r="G15" s="9">
        <v>0.69799999999999995</v>
      </c>
      <c r="H15" s="9">
        <v>0.17799999999999999</v>
      </c>
      <c r="I15" s="9">
        <v>0.25800000000000001</v>
      </c>
      <c r="J15" s="9">
        <v>0.13300000000000001</v>
      </c>
      <c r="K15" s="9">
        <v>0.13</v>
      </c>
      <c r="L15" s="9">
        <v>0.30199999999999999</v>
      </c>
      <c r="M15" s="9"/>
      <c r="N15" s="9">
        <v>0.5</v>
      </c>
      <c r="O15" s="9">
        <v>0.71099999999999997</v>
      </c>
      <c r="P15" s="9">
        <v>0.50600000000000001</v>
      </c>
      <c r="Q15" s="9">
        <v>0.36499999999999999</v>
      </c>
      <c r="R15" s="9">
        <v>0.33800000000000002</v>
      </c>
      <c r="S15" s="9">
        <v>0.376</v>
      </c>
      <c r="T15" s="9"/>
      <c r="U15" s="9">
        <v>0.54900000000000004</v>
      </c>
      <c r="V15" s="9">
        <v>0.84799999999999998</v>
      </c>
      <c r="W15" s="9"/>
      <c r="X15" s="10">
        <v>0.159</v>
      </c>
      <c r="Y15" s="10">
        <v>0.41699999999999998</v>
      </c>
      <c r="Z15" s="5"/>
      <c r="AA15" s="5"/>
      <c r="AB15" s="5">
        <f t="shared" si="0"/>
        <v>12</v>
      </c>
      <c r="AC15" s="5"/>
      <c r="AD15" s="5">
        <f t="shared" si="1"/>
        <v>9</v>
      </c>
      <c r="AE15" s="5">
        <f t="shared" si="2"/>
        <v>2</v>
      </c>
      <c r="AF15" s="5">
        <f t="shared" si="3"/>
        <v>12</v>
      </c>
      <c r="AG15" s="5">
        <f t="shared" si="4"/>
        <v>12</v>
      </c>
      <c r="AH15" s="5">
        <f t="shared" si="5"/>
        <v>6</v>
      </c>
      <c r="AI15" s="5">
        <f t="shared" si="6"/>
        <v>4</v>
      </c>
      <c r="AJ15" s="5"/>
      <c r="AK15" s="5">
        <f t="shared" si="7"/>
        <v>11</v>
      </c>
      <c r="AL15" s="5">
        <f t="shared" si="8"/>
        <v>12</v>
      </c>
      <c r="AM15" s="5">
        <f t="shared" si="9"/>
        <v>12</v>
      </c>
      <c r="AN15" s="5">
        <f t="shared" si="10"/>
        <v>7</v>
      </c>
      <c r="AO15" s="5">
        <f t="shared" si="11"/>
        <v>2</v>
      </c>
      <c r="AP15" s="5">
        <f t="shared" si="12"/>
        <v>11</v>
      </c>
      <c r="AQ15" s="5"/>
      <c r="AR15" s="5">
        <f t="shared" si="13"/>
        <v>4</v>
      </c>
      <c r="AS15" s="5">
        <f t="shared" si="14"/>
        <v>6</v>
      </c>
      <c r="AT15" s="5"/>
      <c r="AU15" s="5">
        <f t="shared" si="15"/>
        <v>7</v>
      </c>
      <c r="AV15" s="5">
        <f t="shared" si="16"/>
        <v>10</v>
      </c>
    </row>
    <row r="16" spans="1:48" x14ac:dyDescent="0.25">
      <c r="A16" s="6"/>
      <c r="B16" s="7"/>
      <c r="C16" s="1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10"/>
      <c r="Y16" s="10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</row>
    <row r="17" spans="1:48" x14ac:dyDescent="0.25">
      <c r="A17" s="6"/>
      <c r="B17" s="7"/>
      <c r="C17" s="1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10"/>
      <c r="Y17" s="10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</row>
    <row r="18" spans="1:48" x14ac:dyDescent="0.25">
      <c r="A18" s="6"/>
      <c r="B18" s="7"/>
      <c r="C18" s="1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10"/>
      <c r="Y18" s="10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</row>
    <row r="19" spans="1:48" x14ac:dyDescent="0.25">
      <c r="A19" s="4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5"/>
      <c r="Y19" s="5"/>
      <c r="Z19" s="5"/>
      <c r="AA19" s="5"/>
    </row>
    <row r="20" spans="1:48" x14ac:dyDescent="0.25">
      <c r="A20" s="4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5"/>
      <c r="Y20" s="5"/>
      <c r="Z20" s="5"/>
      <c r="AA20" s="5"/>
    </row>
    <row r="21" spans="1:48" x14ac:dyDescent="0.25">
      <c r="A21" s="4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5"/>
      <c r="Y21" s="5"/>
      <c r="Z21" s="5"/>
      <c r="AA21" s="5"/>
    </row>
    <row r="22" spans="1:48" ht="15.75" customHeight="1" x14ac:dyDescent="0.25">
      <c r="A22" s="4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5"/>
      <c r="Y22" s="5"/>
      <c r="Z22" s="5"/>
      <c r="AA22" s="5"/>
    </row>
    <row r="23" spans="1:48" ht="15.75" customHeight="1" x14ac:dyDescent="0.25">
      <c r="A23" s="4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5"/>
      <c r="Y23" s="5"/>
      <c r="Z23" s="5"/>
      <c r="AA23" s="5"/>
    </row>
    <row r="24" spans="1:48" ht="15.75" customHeight="1" x14ac:dyDescent="0.25">
      <c r="A24" s="6" t="s">
        <v>41</v>
      </c>
      <c r="B24" s="9">
        <f>AVERAGE(B4:B18)</f>
        <v>32</v>
      </c>
      <c r="C24" s="9">
        <f t="shared" ref="C24:Y24" si="17">AVERAGE(C4:C18)</f>
        <v>6454.166666666667</v>
      </c>
      <c r="D24" s="9">
        <f t="shared" si="17"/>
        <v>0.43450000000000005</v>
      </c>
      <c r="E24" s="9">
        <f t="shared" si="17"/>
        <v>13.333333333333334</v>
      </c>
      <c r="F24" s="9"/>
      <c r="G24" s="9">
        <f t="shared" si="17"/>
        <v>0.69016666666666671</v>
      </c>
      <c r="H24" s="9">
        <f t="shared" si="17"/>
        <v>0.21883333333333332</v>
      </c>
      <c r="I24" s="9">
        <f t="shared" si="17"/>
        <v>0.22650000000000001</v>
      </c>
      <c r="J24" s="9">
        <f t="shared" si="17"/>
        <v>0.11891666666666666</v>
      </c>
      <c r="K24" s="9">
        <f t="shared" si="17"/>
        <v>0.12616666666666665</v>
      </c>
      <c r="L24" s="9">
        <f t="shared" si="17"/>
        <v>0.30983333333333335</v>
      </c>
      <c r="M24" s="9"/>
      <c r="N24" s="9">
        <f t="shared" si="17"/>
        <v>0.4755833333333333</v>
      </c>
      <c r="O24" s="9">
        <f t="shared" si="17"/>
        <v>0.63675000000000004</v>
      </c>
      <c r="P24" s="9">
        <f t="shared" si="17"/>
        <v>0.43333333333333335</v>
      </c>
      <c r="Q24" s="9">
        <f t="shared" si="17"/>
        <v>0.37650000000000006</v>
      </c>
      <c r="R24" s="9">
        <f t="shared" si="17"/>
        <v>0.3683333333333334</v>
      </c>
      <c r="S24" s="9">
        <f t="shared" si="17"/>
        <v>0.34375</v>
      </c>
      <c r="T24" s="9"/>
      <c r="U24" s="9">
        <f t="shared" si="17"/>
        <v>0.56433333333333335</v>
      </c>
      <c r="V24" s="9">
        <f t="shared" si="17"/>
        <v>0.85566666666666669</v>
      </c>
      <c r="W24" s="9"/>
      <c r="X24" s="9">
        <f t="shared" si="17"/>
        <v>0.154</v>
      </c>
      <c r="Y24" s="9">
        <f t="shared" si="17"/>
        <v>0.3775</v>
      </c>
      <c r="Z24" s="5"/>
      <c r="AA24" s="5"/>
    </row>
    <row r="25" spans="1:48" ht="15.75" customHeight="1" x14ac:dyDescent="0.25">
      <c r="A25" s="4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5"/>
      <c r="Y25" s="5"/>
      <c r="Z25" s="5"/>
      <c r="AA25" s="5"/>
    </row>
    <row r="26" spans="1:48" ht="15.75" customHeight="1" x14ac:dyDescent="0.25">
      <c r="A26" s="4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5"/>
      <c r="Y26" s="5"/>
      <c r="Z26" s="5"/>
      <c r="AA26" s="5"/>
    </row>
    <row r="27" spans="1:48" ht="15.75" customHeight="1" x14ac:dyDescent="0.25">
      <c r="A27" s="4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5"/>
      <c r="Y27" s="5"/>
      <c r="Z27" s="5"/>
      <c r="AA27" s="5"/>
    </row>
    <row r="28" spans="1:48" ht="15.75" customHeight="1" x14ac:dyDescent="0.25">
      <c r="A28" s="4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5"/>
      <c r="Y28" s="5"/>
      <c r="Z28" s="5"/>
      <c r="AA28" s="5"/>
    </row>
    <row r="29" spans="1:48" ht="15.7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5"/>
      <c r="Y29" s="5"/>
      <c r="Z29" s="5"/>
      <c r="AA29" s="5"/>
    </row>
    <row r="30" spans="1:48" ht="15.75" customHeight="1" x14ac:dyDescent="0.25">
      <c r="A30" s="4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5"/>
      <c r="Y30" s="5"/>
      <c r="Z30" s="5"/>
      <c r="AA30" s="5"/>
    </row>
    <row r="31" spans="1:48" ht="15.75" customHeight="1" x14ac:dyDescent="0.25">
      <c r="A31" s="4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5"/>
      <c r="Y31" s="5"/>
      <c r="Z31" s="5"/>
      <c r="AA31" s="5"/>
    </row>
    <row r="32" spans="1:48" ht="15.75" customHeight="1" x14ac:dyDescent="0.25">
      <c r="A32" s="4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5"/>
      <c r="Y32" s="5"/>
      <c r="Z32" s="5"/>
      <c r="AA32" s="5"/>
    </row>
    <row r="33" spans="1:27" ht="15.75" customHeight="1" x14ac:dyDescent="0.25">
      <c r="A33" s="4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5"/>
      <c r="Y33" s="5"/>
      <c r="Z33" s="5"/>
      <c r="AA33" s="5"/>
    </row>
    <row r="34" spans="1:27" ht="15.75" customHeight="1" x14ac:dyDescent="0.25">
      <c r="A34" s="4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5"/>
      <c r="Y34" s="5"/>
      <c r="Z34" s="5"/>
      <c r="AA34" s="5"/>
    </row>
    <row r="35" spans="1:27" ht="15.75" customHeight="1" x14ac:dyDescent="0.25">
      <c r="A35" s="4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5"/>
      <c r="Y35" s="5"/>
      <c r="Z35" s="5"/>
      <c r="AA35" s="5"/>
    </row>
    <row r="36" spans="1:27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5"/>
      <c r="Y36" s="5"/>
      <c r="Z36" s="5"/>
      <c r="AA36" s="5"/>
    </row>
    <row r="37" spans="1:27" ht="15.75" customHeight="1" x14ac:dyDescent="0.25">
      <c r="A37" s="4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5"/>
      <c r="Y37" s="5"/>
      <c r="Z37" s="5"/>
      <c r="AA37" s="5"/>
    </row>
    <row r="38" spans="1:27" ht="15.75" customHeight="1" x14ac:dyDescent="0.25">
      <c r="A38" s="4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5"/>
      <c r="Y38" s="5"/>
      <c r="Z38" s="5"/>
      <c r="AA38" s="5"/>
    </row>
    <row r="39" spans="1:27" ht="15.75" customHeight="1" x14ac:dyDescent="0.25">
      <c r="A39" s="4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5"/>
      <c r="Y39" s="5"/>
      <c r="Z39" s="5"/>
      <c r="AA39" s="5"/>
    </row>
    <row r="40" spans="1:27" ht="15.75" customHeight="1" x14ac:dyDescent="0.25">
      <c r="A40" s="4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5"/>
      <c r="Y40" s="5"/>
      <c r="Z40" s="5"/>
      <c r="AA40" s="5"/>
    </row>
    <row r="41" spans="1:27" ht="15.75" customHeight="1" x14ac:dyDescent="0.25">
      <c r="A41" s="4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5"/>
      <c r="Y41" s="5"/>
      <c r="Z41" s="5"/>
      <c r="AA41" s="5"/>
    </row>
    <row r="42" spans="1:27" ht="15.75" customHeight="1" x14ac:dyDescent="0.25">
      <c r="A42" s="4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5"/>
      <c r="Y42" s="5"/>
      <c r="Z42" s="5"/>
      <c r="AA42" s="5"/>
    </row>
    <row r="43" spans="1:27" ht="15.75" customHeight="1" x14ac:dyDescent="0.25">
      <c r="A43" s="4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5"/>
      <c r="Y43" s="5"/>
      <c r="Z43" s="5"/>
      <c r="AA43" s="5"/>
    </row>
    <row r="44" spans="1:27" ht="15.75" customHeight="1" x14ac:dyDescent="0.25">
      <c r="A44" s="4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5"/>
      <c r="Y44" s="5"/>
      <c r="Z44" s="5"/>
      <c r="AA44" s="5"/>
    </row>
    <row r="45" spans="1:27" ht="15.75" customHeight="1" x14ac:dyDescent="0.25">
      <c r="A45" s="4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5"/>
      <c r="Y45" s="5"/>
      <c r="Z45" s="5"/>
      <c r="AA45" s="5"/>
    </row>
    <row r="46" spans="1:27" ht="15.75" customHeight="1" x14ac:dyDescent="0.25">
      <c r="A46" s="4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5"/>
      <c r="Y46" s="5"/>
      <c r="Z46" s="5"/>
      <c r="AA46" s="5"/>
    </row>
    <row r="47" spans="1:27" ht="15.75" customHeight="1" x14ac:dyDescent="0.25">
      <c r="A47" s="4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5"/>
      <c r="Y47" s="5"/>
      <c r="Z47" s="5"/>
      <c r="AA47" s="5"/>
    </row>
    <row r="48" spans="1:27" ht="15.75" customHeight="1" x14ac:dyDescent="0.25">
      <c r="A48" s="4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5"/>
      <c r="Y48" s="5"/>
      <c r="Z48" s="5"/>
      <c r="AA48" s="5"/>
    </row>
    <row r="49" spans="1:27" ht="15.75" customHeight="1" x14ac:dyDescent="0.25">
      <c r="A49" s="4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5"/>
      <c r="Y49" s="5"/>
      <c r="Z49" s="5"/>
      <c r="AA49" s="5"/>
    </row>
    <row r="50" spans="1:27" ht="15.75" customHeight="1" x14ac:dyDescent="0.25">
      <c r="A50" s="4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5"/>
      <c r="Y50" s="5"/>
      <c r="Z50" s="5"/>
      <c r="AA50" s="5"/>
    </row>
    <row r="51" spans="1:27" ht="15.75" customHeight="1" x14ac:dyDescent="0.25">
      <c r="A51" s="4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5"/>
      <c r="Y51" s="5"/>
      <c r="Z51" s="5"/>
      <c r="AA51" s="5"/>
    </row>
    <row r="52" spans="1:27" ht="15.75" customHeight="1" x14ac:dyDescent="0.25">
      <c r="A52" s="4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5"/>
      <c r="Y52" s="5"/>
      <c r="Z52" s="5"/>
      <c r="AA52" s="5"/>
    </row>
    <row r="53" spans="1:27" ht="15.75" customHeight="1" x14ac:dyDescent="0.25">
      <c r="A53" s="4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5"/>
      <c r="Y53" s="5"/>
      <c r="Z53" s="5"/>
      <c r="AA53" s="5"/>
    </row>
    <row r="54" spans="1:27" ht="15.75" customHeight="1" x14ac:dyDescent="0.25">
      <c r="A54" s="4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5"/>
      <c r="Y54" s="5"/>
      <c r="Z54" s="5"/>
      <c r="AA54" s="5"/>
    </row>
    <row r="55" spans="1:27" ht="15.75" customHeight="1" x14ac:dyDescent="0.25">
      <c r="A55" s="4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5"/>
      <c r="Y55" s="5"/>
      <c r="Z55" s="5"/>
      <c r="AA55" s="5"/>
    </row>
    <row r="56" spans="1:27" ht="15.75" customHeight="1" x14ac:dyDescent="0.25">
      <c r="A56" s="4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5"/>
      <c r="Y56" s="5"/>
      <c r="Z56" s="5"/>
      <c r="AA56" s="5"/>
    </row>
    <row r="57" spans="1:27" ht="15.75" customHeight="1" x14ac:dyDescent="0.25">
      <c r="A57" s="4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5"/>
      <c r="Y57" s="5"/>
      <c r="Z57" s="5"/>
      <c r="AA57" s="5"/>
    </row>
    <row r="58" spans="1:27" ht="15.75" customHeight="1" x14ac:dyDescent="0.25">
      <c r="A58" s="4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5"/>
      <c r="Y58" s="5"/>
      <c r="Z58" s="5"/>
      <c r="AA58" s="5"/>
    </row>
    <row r="59" spans="1:27" ht="15.75" customHeight="1" x14ac:dyDescent="0.25">
      <c r="A59" s="4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5"/>
      <c r="Y59" s="5"/>
      <c r="Z59" s="5"/>
      <c r="AA59" s="5"/>
    </row>
    <row r="60" spans="1:27" ht="15.75" customHeight="1" x14ac:dyDescent="0.25">
      <c r="A60" s="4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5"/>
      <c r="Y60" s="5"/>
      <c r="Z60" s="5"/>
      <c r="AA60" s="5"/>
    </row>
    <row r="61" spans="1:27" ht="15.75" customHeight="1" x14ac:dyDescent="0.25">
      <c r="A61" s="4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5"/>
      <c r="Y61" s="5"/>
      <c r="Z61" s="5"/>
      <c r="AA61" s="5"/>
    </row>
    <row r="62" spans="1:27" ht="15.75" customHeight="1" x14ac:dyDescent="0.25">
      <c r="A62" s="4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5"/>
      <c r="Y62" s="5"/>
      <c r="Z62" s="5"/>
      <c r="AA62" s="5"/>
    </row>
    <row r="63" spans="1:27" ht="15.75" customHeight="1" x14ac:dyDescent="0.25">
      <c r="A63" s="4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5"/>
      <c r="Y63" s="5"/>
      <c r="Z63" s="5"/>
      <c r="AA63" s="5"/>
    </row>
    <row r="64" spans="1:27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5"/>
      <c r="Y64" s="5"/>
      <c r="Z64" s="5"/>
      <c r="AA64" s="5"/>
    </row>
    <row r="65" spans="1:27" ht="15.75" customHeight="1" x14ac:dyDescent="0.25">
      <c r="A65" s="4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5"/>
      <c r="Y65" s="5"/>
      <c r="Z65" s="5"/>
      <c r="AA65" s="5"/>
    </row>
    <row r="66" spans="1:27" ht="15.75" customHeight="1" x14ac:dyDescent="0.25">
      <c r="A66" s="4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5"/>
      <c r="Y66" s="5"/>
      <c r="Z66" s="5"/>
      <c r="AA66" s="5"/>
    </row>
    <row r="67" spans="1:27" ht="15.75" customHeight="1" x14ac:dyDescent="0.25">
      <c r="A67" s="4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5"/>
      <c r="Y67" s="5"/>
      <c r="Z67" s="5"/>
      <c r="AA67" s="5"/>
    </row>
    <row r="68" spans="1:27" ht="15.75" customHeight="1" x14ac:dyDescent="0.25">
      <c r="A68" s="4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5"/>
      <c r="Y68" s="5"/>
      <c r="Z68" s="5"/>
      <c r="AA68" s="5"/>
    </row>
    <row r="69" spans="1:27" ht="15.75" customHeight="1" x14ac:dyDescent="0.25">
      <c r="A69" s="4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5"/>
      <c r="Y69" s="5"/>
      <c r="Z69" s="5"/>
      <c r="AA69" s="5"/>
    </row>
    <row r="70" spans="1:27" ht="15.75" customHeight="1" x14ac:dyDescent="0.25">
      <c r="A70" s="4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5"/>
      <c r="Y70" s="5"/>
      <c r="Z70" s="5"/>
      <c r="AA70" s="5"/>
    </row>
    <row r="71" spans="1:27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5"/>
      <c r="Y71" s="5"/>
      <c r="Z71" s="5"/>
      <c r="AA71" s="5"/>
    </row>
    <row r="72" spans="1:27" ht="15.75" customHeight="1" x14ac:dyDescent="0.25">
      <c r="A72" s="4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5"/>
      <c r="Y72" s="5"/>
      <c r="Z72" s="5"/>
      <c r="AA72" s="5"/>
    </row>
    <row r="73" spans="1:27" ht="15.75" customHeight="1" x14ac:dyDescent="0.25">
      <c r="A73" s="4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5"/>
      <c r="Y73" s="5"/>
      <c r="Z73" s="5"/>
      <c r="AA73" s="5"/>
    </row>
    <row r="74" spans="1:27" ht="15.75" customHeight="1" x14ac:dyDescent="0.25">
      <c r="A74" s="4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5"/>
      <c r="Y74" s="5"/>
      <c r="Z74" s="5"/>
      <c r="AA74" s="5"/>
    </row>
    <row r="75" spans="1:27" ht="15.75" customHeight="1" x14ac:dyDescent="0.25">
      <c r="A75" s="4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5"/>
      <c r="Y75" s="5"/>
      <c r="Z75" s="5"/>
      <c r="AA75" s="5"/>
    </row>
    <row r="76" spans="1:27" ht="15.75" customHeight="1" x14ac:dyDescent="0.25">
      <c r="A76" s="4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5"/>
      <c r="Y76" s="5"/>
      <c r="Z76" s="5"/>
      <c r="AA76" s="5"/>
    </row>
    <row r="77" spans="1:27" ht="15.75" customHeight="1" x14ac:dyDescent="0.25">
      <c r="A77" s="4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5"/>
      <c r="Y77" s="5"/>
      <c r="Z77" s="5"/>
      <c r="AA77" s="5"/>
    </row>
    <row r="78" spans="1:27" ht="15.75" customHeight="1" x14ac:dyDescent="0.25">
      <c r="A78" s="4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5"/>
      <c r="Y78" s="5"/>
      <c r="Z78" s="5"/>
      <c r="AA78" s="5"/>
    </row>
    <row r="79" spans="1:27" ht="15.75" customHeight="1" x14ac:dyDescent="0.25">
      <c r="A79" s="4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5"/>
      <c r="Y79" s="5"/>
      <c r="Z79" s="5"/>
      <c r="AA79" s="5"/>
    </row>
    <row r="80" spans="1:27" ht="15.75" customHeight="1" x14ac:dyDescent="0.25">
      <c r="A80" s="4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5"/>
      <c r="Y80" s="5"/>
      <c r="Z80" s="5"/>
      <c r="AA80" s="5"/>
    </row>
    <row r="81" spans="1:27" ht="15.75" customHeight="1" x14ac:dyDescent="0.25">
      <c r="A81" s="4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5"/>
      <c r="Y81" s="5"/>
      <c r="Z81" s="5"/>
      <c r="AA81" s="5"/>
    </row>
    <row r="82" spans="1:27" ht="15.75" customHeight="1" x14ac:dyDescent="0.25">
      <c r="A82" s="4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5"/>
      <c r="Y82" s="5"/>
      <c r="Z82" s="5"/>
      <c r="AA82" s="5"/>
    </row>
    <row r="83" spans="1:27" ht="15.75" customHeight="1" x14ac:dyDescent="0.25">
      <c r="A83" s="4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5"/>
      <c r="Y83" s="5"/>
      <c r="Z83" s="5"/>
      <c r="AA83" s="5"/>
    </row>
    <row r="84" spans="1:27" ht="15.75" customHeight="1" x14ac:dyDescent="0.25">
      <c r="A84" s="4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5"/>
      <c r="Y84" s="5"/>
      <c r="Z84" s="5"/>
      <c r="AA84" s="5"/>
    </row>
    <row r="85" spans="1:27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5"/>
      <c r="Y85" s="5"/>
      <c r="Z85" s="5"/>
      <c r="AA85" s="5"/>
    </row>
    <row r="86" spans="1:27" ht="15.75" customHeight="1" x14ac:dyDescent="0.25">
      <c r="A86" s="4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5"/>
      <c r="Y86" s="5"/>
      <c r="Z86" s="5"/>
      <c r="AA86" s="5"/>
    </row>
    <row r="87" spans="1:27" ht="15.75" customHeight="1" x14ac:dyDescent="0.25">
      <c r="A87" s="4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5"/>
      <c r="Y87" s="5"/>
      <c r="Z87" s="5"/>
      <c r="AA87" s="5"/>
    </row>
    <row r="88" spans="1:27" ht="15.75" customHeight="1" x14ac:dyDescent="0.25">
      <c r="A88" s="4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5"/>
      <c r="Y88" s="5"/>
      <c r="Z88" s="5"/>
      <c r="AA88" s="5"/>
    </row>
    <row r="89" spans="1:27" ht="15.75" customHeight="1" x14ac:dyDescent="0.25">
      <c r="A89" s="4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5"/>
      <c r="Y89" s="5"/>
      <c r="Z89" s="5"/>
      <c r="AA89" s="5"/>
    </row>
    <row r="90" spans="1:27" ht="15.75" customHeight="1" x14ac:dyDescent="0.25">
      <c r="A90" s="4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5"/>
      <c r="Y90" s="5"/>
      <c r="Z90" s="5"/>
      <c r="AA90" s="5"/>
    </row>
    <row r="91" spans="1:27" ht="15.75" customHeight="1" x14ac:dyDescent="0.25">
      <c r="A91" s="4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5"/>
      <c r="Y91" s="5"/>
      <c r="Z91" s="5"/>
      <c r="AA91" s="5"/>
    </row>
    <row r="92" spans="1:27" ht="15.75" customHeight="1" x14ac:dyDescent="0.25">
      <c r="A92" s="4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5"/>
      <c r="Y92" s="5"/>
      <c r="Z92" s="5"/>
      <c r="AA92" s="5"/>
    </row>
    <row r="93" spans="1:27" ht="15.75" customHeight="1" x14ac:dyDescent="0.25">
      <c r="A93" s="4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5"/>
      <c r="Y93" s="5"/>
      <c r="Z93" s="5"/>
      <c r="AA93" s="5"/>
    </row>
    <row r="94" spans="1:27" ht="15.75" customHeight="1" x14ac:dyDescent="0.25">
      <c r="A94" s="4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5"/>
      <c r="Y94" s="5"/>
      <c r="Z94" s="5"/>
      <c r="AA94" s="5"/>
    </row>
    <row r="95" spans="1:27" ht="15.75" customHeight="1" x14ac:dyDescent="0.25">
      <c r="A95" s="4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5"/>
      <c r="Y95" s="5"/>
      <c r="Z95" s="5"/>
      <c r="AA95" s="5"/>
    </row>
    <row r="96" spans="1:27" ht="15.75" customHeight="1" x14ac:dyDescent="0.25">
      <c r="A96" s="4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5"/>
      <c r="Y96" s="5"/>
      <c r="Z96" s="5"/>
      <c r="AA96" s="5"/>
    </row>
    <row r="97" spans="1:27" ht="15.75" customHeight="1" x14ac:dyDescent="0.25">
      <c r="A97" s="4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5"/>
      <c r="Y97" s="5"/>
      <c r="Z97" s="5"/>
      <c r="AA97" s="5"/>
    </row>
    <row r="98" spans="1:27" ht="15.75" customHeight="1" x14ac:dyDescent="0.25">
      <c r="A98" s="4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5"/>
      <c r="Y98" s="5"/>
      <c r="Z98" s="5"/>
      <c r="AA98" s="5"/>
    </row>
    <row r="99" spans="1:27" ht="15.75" customHeight="1" x14ac:dyDescent="0.25">
      <c r="A99" s="4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5"/>
      <c r="Y99" s="5"/>
      <c r="Z99" s="5"/>
      <c r="AA99" s="5"/>
    </row>
    <row r="100" spans="1:27" ht="15.75" customHeight="1" x14ac:dyDescent="0.25">
      <c r="A100" s="4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5"/>
      <c r="Y100" s="5"/>
      <c r="Z100" s="5"/>
      <c r="AA100" s="5"/>
    </row>
    <row r="101" spans="1:27" ht="15.75" customHeight="1" x14ac:dyDescent="0.25">
      <c r="A101" s="4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5"/>
      <c r="Y101" s="5"/>
      <c r="Z101" s="5"/>
      <c r="AA101" s="5"/>
    </row>
    <row r="102" spans="1:27" ht="15.75" customHeight="1" x14ac:dyDescent="0.25">
      <c r="A102" s="4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5"/>
      <c r="Y102" s="5"/>
      <c r="Z102" s="5"/>
      <c r="AA102" s="5"/>
    </row>
    <row r="103" spans="1:27" ht="15.75" customHeight="1" x14ac:dyDescent="0.25">
      <c r="A103" s="4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5"/>
      <c r="Y103" s="5"/>
      <c r="Z103" s="5"/>
      <c r="AA103" s="5"/>
    </row>
    <row r="104" spans="1:27" ht="15.75" customHeight="1" x14ac:dyDescent="0.25">
      <c r="A104" s="4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5"/>
      <c r="Y104" s="5"/>
      <c r="Z104" s="5"/>
      <c r="AA104" s="5"/>
    </row>
    <row r="105" spans="1:27" ht="15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5"/>
      <c r="Y105" s="5"/>
      <c r="Z105" s="5"/>
      <c r="AA105" s="5"/>
    </row>
    <row r="106" spans="1:27" ht="15.75" customHeight="1" x14ac:dyDescent="0.25">
      <c r="A106" s="4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5"/>
      <c r="Y106" s="5"/>
      <c r="Z106" s="5"/>
      <c r="AA106" s="5"/>
    </row>
    <row r="107" spans="1:27" ht="15.75" customHeight="1" x14ac:dyDescent="0.25">
      <c r="A107" s="4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5"/>
      <c r="Y107" s="5"/>
      <c r="Z107" s="5"/>
      <c r="AA107" s="5"/>
    </row>
    <row r="108" spans="1:27" ht="15.75" customHeight="1" x14ac:dyDescent="0.25">
      <c r="A108" s="4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5"/>
      <c r="Y108" s="5"/>
      <c r="Z108" s="5"/>
      <c r="AA108" s="5"/>
    </row>
    <row r="109" spans="1:27" ht="15.75" customHeight="1" x14ac:dyDescent="0.25">
      <c r="A109" s="4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5"/>
      <c r="Y109" s="5"/>
      <c r="Z109" s="5"/>
      <c r="AA109" s="5"/>
    </row>
    <row r="110" spans="1:27" ht="15.75" customHeight="1" x14ac:dyDescent="0.25">
      <c r="A110" s="4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5"/>
      <c r="Y110" s="5"/>
      <c r="Z110" s="5"/>
      <c r="AA110" s="5"/>
    </row>
    <row r="111" spans="1:27" ht="15.75" customHeight="1" x14ac:dyDescent="0.25">
      <c r="A111" s="4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5"/>
      <c r="Y111" s="5"/>
      <c r="Z111" s="5"/>
      <c r="AA111" s="5"/>
    </row>
    <row r="112" spans="1:27" ht="15.75" customHeight="1" x14ac:dyDescent="0.25">
      <c r="A112" s="4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5"/>
      <c r="Y112" s="5"/>
      <c r="Z112" s="5"/>
      <c r="AA112" s="5"/>
    </row>
    <row r="113" spans="1:27" ht="15.75" customHeight="1" x14ac:dyDescent="0.25">
      <c r="A113" s="4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5"/>
      <c r="Y113" s="5"/>
      <c r="Z113" s="5"/>
      <c r="AA113" s="5"/>
    </row>
    <row r="114" spans="1:27" ht="15.75" customHeight="1" x14ac:dyDescent="0.25">
      <c r="A114" s="4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5"/>
      <c r="Y114" s="5"/>
      <c r="Z114" s="5"/>
      <c r="AA114" s="5"/>
    </row>
    <row r="115" spans="1:27" ht="15.75" customHeight="1" x14ac:dyDescent="0.25">
      <c r="A115" s="4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5"/>
      <c r="Y115" s="5"/>
      <c r="Z115" s="5"/>
      <c r="AA115" s="5"/>
    </row>
    <row r="116" spans="1:27" ht="15.75" customHeight="1" x14ac:dyDescent="0.25">
      <c r="A116" s="4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5"/>
      <c r="Y116" s="5"/>
      <c r="Z116" s="5"/>
      <c r="AA116" s="5"/>
    </row>
    <row r="117" spans="1:27" ht="15.75" customHeight="1" x14ac:dyDescent="0.25">
      <c r="A117" s="4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5"/>
      <c r="Y117" s="5"/>
      <c r="Z117" s="5"/>
      <c r="AA117" s="5"/>
    </row>
    <row r="118" spans="1:27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5"/>
      <c r="Y118" s="5"/>
      <c r="Z118" s="5"/>
      <c r="AA118" s="5"/>
    </row>
    <row r="119" spans="1:27" ht="15.75" customHeight="1" x14ac:dyDescent="0.25">
      <c r="A119" s="4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5"/>
      <c r="Y119" s="5"/>
      <c r="Z119" s="5"/>
      <c r="AA119" s="5"/>
    </row>
    <row r="120" spans="1:27" ht="15.75" customHeight="1" x14ac:dyDescent="0.25">
      <c r="A120" s="4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5"/>
      <c r="Y120" s="5"/>
      <c r="Z120" s="5"/>
      <c r="AA120" s="5"/>
    </row>
    <row r="121" spans="1:27" ht="15.75" customHeight="1" x14ac:dyDescent="0.25">
      <c r="A121" s="4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5"/>
      <c r="Y121" s="5"/>
      <c r="Z121" s="5"/>
      <c r="AA121" s="5"/>
    </row>
    <row r="122" spans="1:27" ht="15.75" customHeight="1" x14ac:dyDescent="0.25">
      <c r="A122" s="4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5"/>
      <c r="Y122" s="5"/>
      <c r="Z122" s="5"/>
      <c r="AA122" s="5"/>
    </row>
    <row r="123" spans="1:27" ht="15.75" customHeight="1" x14ac:dyDescent="0.25">
      <c r="A123" s="4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5"/>
      <c r="Y123" s="5"/>
      <c r="Z123" s="5"/>
      <c r="AA123" s="5"/>
    </row>
    <row r="124" spans="1:27" ht="15.75" customHeight="1" x14ac:dyDescent="0.25">
      <c r="A124" s="4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5"/>
      <c r="Y124" s="5"/>
      <c r="Z124" s="5"/>
      <c r="AA124" s="5"/>
    </row>
    <row r="125" spans="1:27" ht="15.75" customHeight="1" x14ac:dyDescent="0.25">
      <c r="A125" s="4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5"/>
      <c r="Y125" s="5"/>
      <c r="Z125" s="5"/>
      <c r="AA125" s="5"/>
    </row>
    <row r="126" spans="1:27" ht="15.75" customHeight="1" x14ac:dyDescent="0.25">
      <c r="A126" s="4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5"/>
      <c r="Y126" s="5"/>
      <c r="Z126" s="5"/>
      <c r="AA126" s="5"/>
    </row>
    <row r="127" spans="1:27" ht="15.75" customHeight="1" x14ac:dyDescent="0.25">
      <c r="A127" s="4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5"/>
      <c r="Y127" s="5"/>
      <c r="Z127" s="5"/>
      <c r="AA127" s="5"/>
    </row>
    <row r="128" spans="1:27" ht="15.75" customHeight="1" x14ac:dyDescent="0.25">
      <c r="A128" s="4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5"/>
      <c r="Y128" s="5"/>
      <c r="Z128" s="5"/>
      <c r="AA128" s="5"/>
    </row>
    <row r="129" spans="1:27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5"/>
      <c r="Y129" s="5"/>
      <c r="Z129" s="5"/>
      <c r="AA129" s="5"/>
    </row>
    <row r="130" spans="1:27" ht="15.75" customHeight="1" x14ac:dyDescent="0.25">
      <c r="A130" s="4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5"/>
      <c r="Y130" s="5"/>
      <c r="Z130" s="5"/>
      <c r="AA130" s="5"/>
    </row>
    <row r="131" spans="1:27" ht="15.75" customHeight="1" x14ac:dyDescent="0.25">
      <c r="A131" s="4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5"/>
      <c r="Y131" s="5"/>
      <c r="Z131" s="5"/>
      <c r="AA131" s="5"/>
    </row>
    <row r="132" spans="1:27" ht="15.75" customHeight="1" x14ac:dyDescent="0.25">
      <c r="A132" s="4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5"/>
      <c r="Y132" s="5"/>
      <c r="Z132" s="5"/>
      <c r="AA132" s="5"/>
    </row>
    <row r="133" spans="1:27" ht="15.75" customHeight="1" x14ac:dyDescent="0.25">
      <c r="A133" s="4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5"/>
      <c r="Y133" s="5"/>
      <c r="Z133" s="5"/>
      <c r="AA133" s="5"/>
    </row>
    <row r="134" spans="1:27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5"/>
      <c r="Y134" s="5"/>
      <c r="Z134" s="5"/>
      <c r="AA134" s="5"/>
    </row>
    <row r="135" spans="1:27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5"/>
      <c r="Y135" s="5"/>
      <c r="Z135" s="5"/>
      <c r="AA135" s="5"/>
    </row>
    <row r="136" spans="1:27" ht="15.75" customHeight="1" x14ac:dyDescent="0.25">
      <c r="A136" s="4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5"/>
      <c r="Y136" s="5"/>
      <c r="Z136" s="5"/>
      <c r="AA136" s="5"/>
    </row>
    <row r="137" spans="1:27" ht="15.75" customHeight="1" x14ac:dyDescent="0.25">
      <c r="A137" s="4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5"/>
      <c r="Y137" s="5"/>
      <c r="Z137" s="5"/>
      <c r="AA137" s="5"/>
    </row>
    <row r="138" spans="1:27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5"/>
      <c r="Y138" s="5"/>
      <c r="Z138" s="5"/>
      <c r="AA138" s="5"/>
    </row>
    <row r="139" spans="1:27" ht="15.75" customHeight="1" x14ac:dyDescent="0.25">
      <c r="A139" s="4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5"/>
      <c r="Y139" s="5"/>
      <c r="Z139" s="5"/>
      <c r="AA139" s="5"/>
    </row>
    <row r="140" spans="1:27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5"/>
      <c r="Y140" s="5"/>
      <c r="Z140" s="5"/>
      <c r="AA140" s="5"/>
    </row>
    <row r="141" spans="1:27" ht="15.75" customHeight="1" x14ac:dyDescent="0.25">
      <c r="A141" s="4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5"/>
      <c r="Y141" s="5"/>
      <c r="Z141" s="5"/>
      <c r="AA141" s="5"/>
    </row>
    <row r="142" spans="1:27" ht="15.75" customHeight="1" x14ac:dyDescent="0.25">
      <c r="A142" s="4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5"/>
      <c r="Y142" s="5"/>
      <c r="Z142" s="5"/>
      <c r="AA142" s="5"/>
    </row>
    <row r="143" spans="1:27" ht="15.75" customHeight="1" x14ac:dyDescent="0.25">
      <c r="A143" s="4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5"/>
      <c r="Y143" s="5"/>
      <c r="Z143" s="5"/>
      <c r="AA143" s="5"/>
    </row>
    <row r="144" spans="1:27" ht="15.75" customHeight="1" x14ac:dyDescent="0.25">
      <c r="A144" s="4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5"/>
      <c r="Y144" s="5"/>
      <c r="Z144" s="5"/>
      <c r="AA144" s="5"/>
    </row>
    <row r="145" spans="1:27" ht="15.75" customHeight="1" x14ac:dyDescent="0.25">
      <c r="A145" s="4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5"/>
      <c r="Y145" s="5"/>
      <c r="Z145" s="5"/>
      <c r="AA145" s="5"/>
    </row>
    <row r="146" spans="1:27" ht="15.75" customHeight="1" x14ac:dyDescent="0.25">
      <c r="A146" s="4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5"/>
      <c r="Y146" s="5"/>
      <c r="Z146" s="5"/>
      <c r="AA146" s="5"/>
    </row>
    <row r="147" spans="1:27" ht="15.75" customHeight="1" x14ac:dyDescent="0.25">
      <c r="A147" s="4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5"/>
      <c r="Y147" s="5"/>
      <c r="Z147" s="5"/>
      <c r="AA147" s="5"/>
    </row>
    <row r="148" spans="1:27" ht="15.75" customHeight="1" x14ac:dyDescent="0.25">
      <c r="A148" s="4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5"/>
      <c r="Y148" s="5"/>
      <c r="Z148" s="5"/>
      <c r="AA148" s="5"/>
    </row>
    <row r="149" spans="1:27" ht="15.75" customHeight="1" x14ac:dyDescent="0.25">
      <c r="A149" s="4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5"/>
      <c r="Y149" s="5"/>
      <c r="Z149" s="5"/>
      <c r="AA149" s="5"/>
    </row>
    <row r="150" spans="1:27" ht="15.75" customHeight="1" x14ac:dyDescent="0.25">
      <c r="A150" s="4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5"/>
      <c r="Y150" s="5"/>
      <c r="Z150" s="5"/>
      <c r="AA150" s="5"/>
    </row>
    <row r="151" spans="1:27" ht="15.75" customHeight="1" x14ac:dyDescent="0.25">
      <c r="A151" s="4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5"/>
      <c r="Y151" s="5"/>
      <c r="Z151" s="5"/>
      <c r="AA151" s="5"/>
    </row>
    <row r="152" spans="1:27" ht="15.75" customHeight="1" x14ac:dyDescent="0.25">
      <c r="A152" s="4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5"/>
      <c r="Y152" s="5"/>
      <c r="Z152" s="5"/>
      <c r="AA152" s="5"/>
    </row>
    <row r="153" spans="1:27" ht="15.75" customHeight="1" x14ac:dyDescent="0.25">
      <c r="A153" s="4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5"/>
      <c r="Y153" s="5"/>
      <c r="Z153" s="5"/>
      <c r="AA153" s="5"/>
    </row>
    <row r="154" spans="1:27" ht="15.75" customHeight="1" x14ac:dyDescent="0.25">
      <c r="A154" s="4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5"/>
      <c r="Y154" s="5"/>
      <c r="Z154" s="5"/>
      <c r="AA154" s="5"/>
    </row>
    <row r="155" spans="1:27" ht="15.75" customHeight="1" x14ac:dyDescent="0.25">
      <c r="A155" s="4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5"/>
      <c r="Y155" s="5"/>
      <c r="Z155" s="5"/>
      <c r="AA155" s="5"/>
    </row>
    <row r="156" spans="1:27" ht="15.75" customHeight="1" x14ac:dyDescent="0.25">
      <c r="A156" s="4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5"/>
      <c r="Y156" s="5"/>
      <c r="Z156" s="5"/>
      <c r="AA156" s="5"/>
    </row>
    <row r="157" spans="1:27" ht="15.75" customHeight="1" x14ac:dyDescent="0.25">
      <c r="A157" s="4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5"/>
      <c r="Y157" s="5"/>
      <c r="Z157" s="5"/>
      <c r="AA157" s="5"/>
    </row>
    <row r="158" spans="1:27" ht="15.75" customHeight="1" x14ac:dyDescent="0.25">
      <c r="A158" s="4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5"/>
      <c r="Y158" s="5"/>
      <c r="Z158" s="5"/>
      <c r="AA158" s="5"/>
    </row>
    <row r="159" spans="1:27" ht="15.75" customHeight="1" x14ac:dyDescent="0.25">
      <c r="A159" s="4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5"/>
      <c r="Y159" s="5"/>
      <c r="Z159" s="5"/>
      <c r="AA159" s="5"/>
    </row>
    <row r="160" spans="1:27" ht="15.75" customHeight="1" x14ac:dyDescent="0.25">
      <c r="A160" s="4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5"/>
      <c r="Y160" s="5"/>
      <c r="Z160" s="5"/>
      <c r="AA160" s="5"/>
    </row>
    <row r="161" spans="1:27" ht="15.75" customHeight="1" x14ac:dyDescent="0.25">
      <c r="A161" s="4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5"/>
      <c r="Y161" s="5"/>
      <c r="Z161" s="5"/>
      <c r="AA161" s="5"/>
    </row>
    <row r="162" spans="1:27" ht="15.75" customHeight="1" x14ac:dyDescent="0.25">
      <c r="A162" s="4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5"/>
      <c r="Y162" s="5"/>
      <c r="Z162" s="5"/>
      <c r="AA162" s="5"/>
    </row>
    <row r="163" spans="1:27" ht="15.75" customHeight="1" x14ac:dyDescent="0.25">
      <c r="A163" s="4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5"/>
      <c r="Y163" s="5"/>
      <c r="Z163" s="5"/>
      <c r="AA163" s="5"/>
    </row>
    <row r="164" spans="1:27" ht="15.75" customHeight="1" x14ac:dyDescent="0.25">
      <c r="A164" s="4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5"/>
      <c r="Y164" s="5"/>
      <c r="Z164" s="5"/>
      <c r="AA164" s="5"/>
    </row>
    <row r="165" spans="1:27" ht="15.75" customHeight="1" x14ac:dyDescent="0.25">
      <c r="A165" s="4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5"/>
      <c r="Y165" s="5"/>
      <c r="Z165" s="5"/>
      <c r="AA165" s="5"/>
    </row>
    <row r="166" spans="1:27" ht="15.75" customHeight="1" x14ac:dyDescent="0.25">
      <c r="A166" s="4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5"/>
      <c r="Y166" s="5"/>
      <c r="Z166" s="5"/>
      <c r="AA166" s="5"/>
    </row>
    <row r="167" spans="1:27" ht="15.75" customHeight="1" x14ac:dyDescent="0.25">
      <c r="A167" s="4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5"/>
      <c r="Y167" s="5"/>
      <c r="Z167" s="5"/>
      <c r="AA167" s="5"/>
    </row>
    <row r="168" spans="1:27" ht="15.75" customHeight="1" x14ac:dyDescent="0.25">
      <c r="A168" s="4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5"/>
      <c r="Y168" s="5"/>
      <c r="Z168" s="5"/>
      <c r="AA168" s="5"/>
    </row>
    <row r="169" spans="1:27" ht="15.75" customHeight="1" x14ac:dyDescent="0.25">
      <c r="A169" s="4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5"/>
      <c r="Y169" s="5"/>
      <c r="Z169" s="5"/>
      <c r="AA169" s="5"/>
    </row>
    <row r="170" spans="1:27" ht="15.75" customHeight="1" x14ac:dyDescent="0.25">
      <c r="A170" s="4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5"/>
      <c r="Y170" s="5"/>
      <c r="Z170" s="5"/>
      <c r="AA170" s="5"/>
    </row>
    <row r="171" spans="1:27" ht="15.75" customHeight="1" x14ac:dyDescent="0.25">
      <c r="A171" s="4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5"/>
      <c r="Y171" s="5"/>
      <c r="Z171" s="5"/>
      <c r="AA171" s="5"/>
    </row>
    <row r="172" spans="1:27" ht="15.75" customHeight="1" x14ac:dyDescent="0.25">
      <c r="A172" s="4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5"/>
      <c r="Y172" s="5"/>
      <c r="Z172" s="5"/>
      <c r="AA172" s="5"/>
    </row>
    <row r="173" spans="1:27" ht="15.75" customHeight="1" x14ac:dyDescent="0.25">
      <c r="A173" s="4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5"/>
      <c r="Y173" s="5"/>
      <c r="Z173" s="5"/>
      <c r="AA173" s="5"/>
    </row>
    <row r="174" spans="1:27" ht="15.75" customHeight="1" x14ac:dyDescent="0.25">
      <c r="A174" s="4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5"/>
      <c r="Y174" s="5"/>
      <c r="Z174" s="5"/>
      <c r="AA174" s="5"/>
    </row>
    <row r="175" spans="1:27" ht="15.75" customHeight="1" x14ac:dyDescent="0.25">
      <c r="A175" s="4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5"/>
      <c r="Y175" s="5"/>
      <c r="Z175" s="5"/>
      <c r="AA175" s="5"/>
    </row>
    <row r="176" spans="1:27" ht="15.75" customHeight="1" x14ac:dyDescent="0.25">
      <c r="A176" s="4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5"/>
      <c r="Y176" s="5"/>
      <c r="Z176" s="5"/>
      <c r="AA176" s="5"/>
    </row>
    <row r="177" spans="1:27" ht="15.75" customHeight="1" x14ac:dyDescent="0.25">
      <c r="A177" s="4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5"/>
      <c r="Y177" s="5"/>
      <c r="Z177" s="5"/>
      <c r="AA177" s="5"/>
    </row>
    <row r="178" spans="1:27" ht="15.75" customHeight="1" x14ac:dyDescent="0.25">
      <c r="A178" s="4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5"/>
      <c r="Y178" s="5"/>
      <c r="Z178" s="5"/>
      <c r="AA178" s="5"/>
    </row>
    <row r="179" spans="1:27" ht="15.75" customHeight="1" x14ac:dyDescent="0.25">
      <c r="A179" s="4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5"/>
      <c r="Y179" s="5"/>
      <c r="Z179" s="5"/>
      <c r="AA179" s="5"/>
    </row>
    <row r="180" spans="1:27" ht="15.75" customHeight="1" x14ac:dyDescent="0.25">
      <c r="A180" s="4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5"/>
      <c r="Y180" s="5"/>
      <c r="Z180" s="5"/>
      <c r="AA180" s="5"/>
    </row>
    <row r="181" spans="1:27" ht="15.75" customHeight="1" x14ac:dyDescent="0.25">
      <c r="A181" s="4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5"/>
      <c r="Y181" s="5"/>
      <c r="Z181" s="5"/>
      <c r="AA181" s="5"/>
    </row>
    <row r="182" spans="1:27" ht="15.75" customHeight="1" x14ac:dyDescent="0.25">
      <c r="A182" s="4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5"/>
      <c r="Y182" s="5"/>
      <c r="Z182" s="5"/>
      <c r="AA182" s="5"/>
    </row>
    <row r="183" spans="1:27" ht="15.75" customHeight="1" x14ac:dyDescent="0.25">
      <c r="A183" s="4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5"/>
      <c r="Y183" s="5"/>
      <c r="Z183" s="5"/>
      <c r="AA183" s="5"/>
    </row>
    <row r="184" spans="1:27" ht="15.75" customHeight="1" x14ac:dyDescent="0.25">
      <c r="A184" s="4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5"/>
      <c r="Y184" s="5"/>
      <c r="Z184" s="5"/>
      <c r="AA184" s="5"/>
    </row>
    <row r="185" spans="1:27" ht="15.75" customHeight="1" x14ac:dyDescent="0.25">
      <c r="A185" s="4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5"/>
      <c r="Y185" s="5"/>
      <c r="Z185" s="5"/>
      <c r="AA185" s="5"/>
    </row>
    <row r="186" spans="1:27" ht="15.75" customHeight="1" x14ac:dyDescent="0.25">
      <c r="A186" s="4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5"/>
      <c r="Y186" s="5"/>
      <c r="Z186" s="5"/>
      <c r="AA186" s="5"/>
    </row>
    <row r="187" spans="1:27" ht="15.75" customHeight="1" x14ac:dyDescent="0.25">
      <c r="A187" s="4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5"/>
      <c r="Y187" s="5"/>
      <c r="Z187" s="5"/>
      <c r="AA187" s="5"/>
    </row>
    <row r="188" spans="1:27" ht="15.75" customHeight="1" x14ac:dyDescent="0.25">
      <c r="A188" s="4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5"/>
      <c r="Y188" s="5"/>
      <c r="Z188" s="5"/>
      <c r="AA188" s="5"/>
    </row>
    <row r="189" spans="1:27" ht="15.75" customHeight="1" x14ac:dyDescent="0.25">
      <c r="A189" s="4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5"/>
      <c r="Y189" s="5"/>
      <c r="Z189" s="5"/>
      <c r="AA189" s="5"/>
    </row>
    <row r="190" spans="1:27" ht="15.75" customHeight="1" x14ac:dyDescent="0.25">
      <c r="A190" s="4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5"/>
      <c r="Y190" s="5"/>
      <c r="Z190" s="5"/>
      <c r="AA190" s="5"/>
    </row>
    <row r="191" spans="1:27" ht="15.75" customHeight="1" x14ac:dyDescent="0.25">
      <c r="A191" s="4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5"/>
      <c r="Y191" s="5"/>
      <c r="Z191" s="5"/>
      <c r="AA191" s="5"/>
    </row>
    <row r="192" spans="1:27" ht="15.75" customHeight="1" x14ac:dyDescent="0.25">
      <c r="A192" s="4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5"/>
      <c r="Y192" s="5"/>
      <c r="Z192" s="5"/>
      <c r="AA192" s="5"/>
    </row>
    <row r="193" spans="1:27" ht="15.75" customHeight="1" x14ac:dyDescent="0.25">
      <c r="A193" s="4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5"/>
      <c r="Y193" s="5"/>
      <c r="Z193" s="5"/>
      <c r="AA193" s="5"/>
    </row>
    <row r="194" spans="1:27" ht="15.75" customHeight="1" x14ac:dyDescent="0.25">
      <c r="A194" s="4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5"/>
      <c r="Y194" s="5"/>
      <c r="Z194" s="5"/>
      <c r="AA194" s="5"/>
    </row>
    <row r="195" spans="1:27" ht="15.75" customHeight="1" x14ac:dyDescent="0.25">
      <c r="A195" s="4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5"/>
      <c r="Y195" s="5"/>
      <c r="Z195" s="5"/>
      <c r="AA195" s="5"/>
    </row>
    <row r="196" spans="1:27" ht="15.75" customHeight="1" x14ac:dyDescent="0.25">
      <c r="A196" s="4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5"/>
      <c r="Y196" s="5"/>
      <c r="Z196" s="5"/>
      <c r="AA196" s="5"/>
    </row>
    <row r="197" spans="1:27" ht="15.75" customHeight="1" x14ac:dyDescent="0.25">
      <c r="A197" s="4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5"/>
      <c r="Y197" s="5"/>
      <c r="Z197" s="5"/>
      <c r="AA197" s="5"/>
    </row>
    <row r="198" spans="1:27" ht="15.75" customHeight="1" x14ac:dyDescent="0.25">
      <c r="A198" s="4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5"/>
      <c r="Y198" s="5"/>
      <c r="Z198" s="5"/>
      <c r="AA198" s="5"/>
    </row>
    <row r="199" spans="1:27" ht="15.75" customHeight="1" x14ac:dyDescent="0.25">
      <c r="A199" s="4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5"/>
      <c r="Y199" s="5"/>
      <c r="Z199" s="5"/>
      <c r="AA199" s="5"/>
    </row>
    <row r="200" spans="1:27" ht="15.75" customHeight="1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5"/>
      <c r="Y200" s="5"/>
      <c r="Z200" s="5"/>
      <c r="AA200" s="5"/>
    </row>
    <row r="201" spans="1:27" ht="15.75" customHeight="1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5"/>
      <c r="Y201" s="5"/>
      <c r="Z201" s="5"/>
      <c r="AA201" s="5"/>
    </row>
    <row r="202" spans="1:27" ht="15.75" customHeight="1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5"/>
      <c r="Y202" s="5"/>
      <c r="Z202" s="5"/>
      <c r="AA202" s="5"/>
    </row>
    <row r="203" spans="1:27" ht="15.75" customHeight="1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5"/>
      <c r="Y203" s="5"/>
      <c r="Z203" s="5"/>
      <c r="AA203" s="5"/>
    </row>
    <row r="204" spans="1:27" ht="15.75" customHeight="1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5"/>
      <c r="Y204" s="5"/>
      <c r="Z204" s="5"/>
      <c r="AA204" s="5"/>
    </row>
    <row r="205" spans="1:27" ht="15.75" customHeight="1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5"/>
      <c r="Y205" s="5"/>
      <c r="Z205" s="5"/>
      <c r="AA205" s="5"/>
    </row>
    <row r="206" spans="1:27" ht="15.75" customHeight="1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5"/>
      <c r="Y206" s="5"/>
      <c r="Z206" s="5"/>
      <c r="AA206" s="5"/>
    </row>
    <row r="207" spans="1:27" ht="15.75" customHeight="1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5"/>
      <c r="Y207" s="5"/>
      <c r="Z207" s="5"/>
      <c r="AA207" s="5"/>
    </row>
    <row r="208" spans="1:27" ht="15.75" customHeight="1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5"/>
      <c r="Y208" s="5"/>
      <c r="Z208" s="5"/>
      <c r="AA208" s="5"/>
    </row>
    <row r="209" spans="1:27" ht="15.75" customHeight="1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5"/>
      <c r="Y209" s="5"/>
      <c r="Z209" s="5"/>
      <c r="AA209" s="5"/>
    </row>
    <row r="210" spans="1:27" ht="15.75" customHeight="1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5"/>
      <c r="Y210" s="5"/>
      <c r="Z210" s="5"/>
      <c r="AA210" s="5"/>
    </row>
    <row r="211" spans="1:27" ht="15.75" customHeight="1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5"/>
      <c r="Y211" s="5"/>
      <c r="Z211" s="5"/>
      <c r="AA211" s="5"/>
    </row>
    <row r="212" spans="1:27" ht="15.75" customHeight="1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5"/>
      <c r="Y212" s="5"/>
      <c r="Z212" s="5"/>
      <c r="AA212" s="5"/>
    </row>
    <row r="213" spans="1:27" ht="15.75" customHeight="1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5"/>
      <c r="Y213" s="5"/>
      <c r="Z213" s="5"/>
      <c r="AA213" s="5"/>
    </row>
    <row r="214" spans="1:27" ht="15.75" customHeight="1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5"/>
      <c r="Y214" s="5"/>
      <c r="Z214" s="5"/>
      <c r="AA214" s="5"/>
    </row>
    <row r="215" spans="1:27" ht="15.75" customHeight="1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5"/>
      <c r="Y215" s="5"/>
      <c r="Z215" s="5"/>
      <c r="AA215" s="5"/>
    </row>
    <row r="216" spans="1:27" ht="15.75" customHeight="1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5"/>
      <c r="Y216" s="5"/>
      <c r="Z216" s="5"/>
      <c r="AA216" s="5"/>
    </row>
    <row r="217" spans="1:27" ht="15.75" customHeight="1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5"/>
      <c r="Y217" s="5"/>
      <c r="Z217" s="5"/>
      <c r="AA217" s="5"/>
    </row>
    <row r="218" spans="1:27" ht="15.75" customHeight="1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5"/>
      <c r="Y218" s="5"/>
      <c r="Z218" s="5"/>
      <c r="AA218" s="5"/>
    </row>
    <row r="219" spans="1:27" ht="15.75" customHeight="1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5"/>
      <c r="Y219" s="5"/>
      <c r="Z219" s="5"/>
      <c r="AA219" s="5"/>
    </row>
    <row r="220" spans="1:27" ht="15.75" customHeight="1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5"/>
      <c r="Y220" s="5"/>
      <c r="Z220" s="5"/>
      <c r="AA220" s="5"/>
    </row>
    <row r="221" spans="1:27" ht="15.75" customHeight="1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5"/>
      <c r="Y221" s="5"/>
      <c r="Z221" s="5"/>
      <c r="AA221" s="5"/>
    </row>
    <row r="222" spans="1:27" ht="15.75" customHeight="1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5"/>
      <c r="Y222" s="5"/>
      <c r="Z222" s="5"/>
      <c r="AA222" s="5"/>
    </row>
    <row r="223" spans="1:27" ht="15.75" customHeight="1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5"/>
      <c r="Y223" s="5"/>
      <c r="Z223" s="5"/>
      <c r="AA223" s="5"/>
    </row>
    <row r="224" spans="1:27" ht="15.75" customHeight="1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5"/>
      <c r="Y224" s="5"/>
      <c r="Z224" s="5"/>
      <c r="AA224" s="5"/>
    </row>
    <row r="225" spans="1:27" ht="15.75" customHeight="1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5"/>
      <c r="Y225" s="5"/>
      <c r="Z225" s="5"/>
      <c r="AA225" s="5"/>
    </row>
    <row r="226" spans="1:27" ht="15.75" customHeight="1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5"/>
      <c r="Y226" s="5"/>
      <c r="Z226" s="5"/>
      <c r="AA226" s="5"/>
    </row>
    <row r="227" spans="1:27" ht="15.75" customHeight="1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5"/>
      <c r="Y227" s="5"/>
      <c r="Z227" s="5"/>
      <c r="AA227" s="5"/>
    </row>
    <row r="228" spans="1:27" ht="15.75" customHeight="1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5"/>
      <c r="Y228" s="5"/>
      <c r="Z228" s="5"/>
      <c r="AA228" s="5"/>
    </row>
    <row r="229" spans="1:27" ht="15.75" customHeight="1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5"/>
      <c r="Y229" s="5"/>
      <c r="Z229" s="5"/>
      <c r="AA229" s="5"/>
    </row>
    <row r="230" spans="1:27" ht="15.75" customHeight="1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5"/>
      <c r="Y230" s="5"/>
      <c r="Z230" s="5"/>
      <c r="AA230" s="5"/>
    </row>
    <row r="231" spans="1:27" ht="15.75" customHeight="1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5"/>
      <c r="Y231" s="5"/>
      <c r="Z231" s="5"/>
      <c r="AA231" s="5"/>
    </row>
    <row r="232" spans="1:27" ht="15.75" customHeight="1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5"/>
      <c r="Y232" s="5"/>
      <c r="Z232" s="5"/>
      <c r="AA232" s="5"/>
    </row>
    <row r="233" spans="1:27" ht="15.75" customHeight="1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5"/>
      <c r="Y233" s="5"/>
      <c r="Z233" s="5"/>
      <c r="AA233" s="5"/>
    </row>
    <row r="234" spans="1:27" ht="15.75" customHeight="1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5"/>
      <c r="Y234" s="5"/>
      <c r="Z234" s="5"/>
      <c r="AA234" s="5"/>
    </row>
    <row r="235" spans="1:27" ht="15.75" customHeight="1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5"/>
      <c r="Y235" s="5"/>
      <c r="Z235" s="5"/>
      <c r="AA235" s="5"/>
    </row>
    <row r="236" spans="1:27" ht="15.75" customHeight="1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5"/>
      <c r="Y236" s="5"/>
      <c r="Z236" s="5"/>
      <c r="AA236" s="5"/>
    </row>
    <row r="237" spans="1:27" ht="15.75" customHeight="1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5"/>
      <c r="Y237" s="5"/>
      <c r="Z237" s="5"/>
      <c r="AA237" s="5"/>
    </row>
    <row r="238" spans="1:27" ht="15.75" customHeight="1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5"/>
      <c r="Y238" s="5"/>
      <c r="Z238" s="5"/>
      <c r="AA238" s="5"/>
    </row>
    <row r="239" spans="1:27" ht="15.75" customHeight="1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5"/>
      <c r="Y239" s="5"/>
      <c r="Z239" s="5"/>
      <c r="AA239" s="5"/>
    </row>
    <row r="240" spans="1:27" ht="15.75" customHeight="1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5"/>
      <c r="Y240" s="5"/>
      <c r="Z240" s="5"/>
      <c r="AA240" s="5"/>
    </row>
    <row r="241" spans="1:27" ht="15.75" customHeight="1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5"/>
      <c r="Y241" s="5"/>
      <c r="Z241" s="5"/>
      <c r="AA241" s="5"/>
    </row>
    <row r="242" spans="1:27" ht="15.75" customHeight="1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5"/>
      <c r="Y242" s="5"/>
      <c r="Z242" s="5"/>
      <c r="AA242" s="5"/>
    </row>
    <row r="243" spans="1:27" ht="15.75" customHeight="1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5"/>
      <c r="Y243" s="5"/>
      <c r="Z243" s="5"/>
      <c r="AA243" s="5"/>
    </row>
    <row r="244" spans="1:27" ht="15.75" customHeight="1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5"/>
      <c r="Y244" s="5"/>
      <c r="Z244" s="5"/>
      <c r="AA244" s="5"/>
    </row>
    <row r="245" spans="1:27" ht="15.75" customHeight="1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5"/>
      <c r="Y245" s="5"/>
      <c r="Z245" s="5"/>
      <c r="AA245" s="5"/>
    </row>
    <row r="246" spans="1:27" ht="15.75" customHeight="1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5"/>
      <c r="Y246" s="5"/>
      <c r="Z246" s="5"/>
      <c r="AA246" s="5"/>
    </row>
    <row r="247" spans="1:27" ht="15.75" customHeight="1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5"/>
      <c r="Y247" s="5"/>
      <c r="Z247" s="5"/>
      <c r="AA247" s="5"/>
    </row>
    <row r="248" spans="1:27" ht="15.75" customHeight="1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5"/>
      <c r="Y248" s="5"/>
      <c r="Z248" s="5"/>
      <c r="AA248" s="5"/>
    </row>
    <row r="249" spans="1:27" ht="15.75" customHeight="1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5"/>
      <c r="Y249" s="5"/>
      <c r="Z249" s="5"/>
      <c r="AA249" s="5"/>
    </row>
    <row r="250" spans="1:27" ht="15.75" customHeight="1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5"/>
      <c r="Y250" s="5"/>
      <c r="Z250" s="5"/>
      <c r="AA250" s="5"/>
    </row>
    <row r="251" spans="1:27" ht="15.75" customHeight="1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5"/>
      <c r="Y251" s="5"/>
      <c r="Z251" s="5"/>
      <c r="AA251" s="5"/>
    </row>
    <row r="252" spans="1:27" ht="15.75" customHeight="1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5"/>
      <c r="Y252" s="5"/>
      <c r="Z252" s="5"/>
      <c r="AA252" s="5"/>
    </row>
    <row r="253" spans="1:27" ht="15.75" customHeight="1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5"/>
      <c r="Y253" s="5"/>
      <c r="Z253" s="5"/>
      <c r="AA253" s="5"/>
    </row>
    <row r="254" spans="1:27" ht="15.75" customHeight="1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5"/>
      <c r="Y254" s="5"/>
      <c r="Z254" s="5"/>
      <c r="AA254" s="5"/>
    </row>
    <row r="255" spans="1:27" ht="15.75" customHeight="1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5"/>
      <c r="Y255" s="5"/>
      <c r="Z255" s="5"/>
      <c r="AA255" s="5"/>
    </row>
    <row r="256" spans="1:27" ht="15.75" customHeight="1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5"/>
      <c r="Y256" s="5"/>
      <c r="Z256" s="5"/>
      <c r="AA256" s="5"/>
    </row>
    <row r="257" spans="1:27" ht="15.75" customHeight="1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5"/>
      <c r="Y257" s="5"/>
      <c r="Z257" s="5"/>
      <c r="AA257" s="5"/>
    </row>
    <row r="258" spans="1:27" ht="15.75" customHeight="1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5"/>
      <c r="Y258" s="5"/>
      <c r="Z258" s="5"/>
      <c r="AA258" s="5"/>
    </row>
    <row r="259" spans="1:27" ht="15.75" customHeight="1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5"/>
      <c r="Y259" s="5"/>
      <c r="Z259" s="5"/>
      <c r="AA259" s="5"/>
    </row>
    <row r="260" spans="1:27" ht="15.75" customHeight="1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5"/>
      <c r="Y260" s="5"/>
      <c r="Z260" s="5"/>
      <c r="AA260" s="5"/>
    </row>
    <row r="261" spans="1:27" ht="15.75" customHeight="1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5"/>
      <c r="Y261" s="5"/>
      <c r="Z261" s="5"/>
      <c r="AA261" s="5"/>
    </row>
    <row r="262" spans="1:27" ht="15.75" customHeight="1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5"/>
      <c r="Y262" s="5"/>
      <c r="Z262" s="5"/>
      <c r="AA262" s="5"/>
    </row>
    <row r="263" spans="1:27" ht="15.75" customHeight="1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5"/>
      <c r="Y263" s="5"/>
      <c r="Z263" s="5"/>
      <c r="AA263" s="5"/>
    </row>
    <row r="264" spans="1:27" ht="15.75" customHeight="1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5"/>
      <c r="Y264" s="5"/>
      <c r="Z264" s="5"/>
      <c r="AA264" s="5"/>
    </row>
    <row r="265" spans="1:27" ht="15.75" customHeight="1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5"/>
      <c r="Y265" s="5"/>
      <c r="Z265" s="5"/>
      <c r="AA265" s="5"/>
    </row>
    <row r="266" spans="1:27" ht="15.75" customHeight="1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5"/>
      <c r="Y266" s="5"/>
      <c r="Z266" s="5"/>
      <c r="AA266" s="5"/>
    </row>
    <row r="267" spans="1:27" ht="15.75" customHeight="1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5"/>
      <c r="Y267" s="5"/>
      <c r="Z267" s="5"/>
      <c r="AA267" s="5"/>
    </row>
    <row r="268" spans="1:27" ht="15.75" customHeight="1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5"/>
      <c r="Y268" s="5"/>
      <c r="Z268" s="5"/>
      <c r="AA268" s="5"/>
    </row>
    <row r="269" spans="1:27" ht="15.75" customHeight="1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5"/>
      <c r="Y269" s="5"/>
      <c r="Z269" s="5"/>
      <c r="AA269" s="5"/>
    </row>
    <row r="270" spans="1:27" ht="15.75" customHeight="1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5"/>
      <c r="Y270" s="5"/>
      <c r="Z270" s="5"/>
      <c r="AA270" s="5"/>
    </row>
    <row r="271" spans="1:27" ht="15.75" customHeight="1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5"/>
      <c r="Y271" s="5"/>
      <c r="Z271" s="5"/>
      <c r="AA271" s="5"/>
    </row>
    <row r="272" spans="1:27" ht="15.75" customHeight="1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5"/>
      <c r="Y272" s="5"/>
      <c r="Z272" s="5"/>
      <c r="AA272" s="5"/>
    </row>
    <row r="273" spans="1:27" ht="15.75" customHeight="1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5"/>
      <c r="Y273" s="5"/>
      <c r="Z273" s="5"/>
      <c r="AA273" s="5"/>
    </row>
    <row r="274" spans="1:27" ht="15.75" customHeight="1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5"/>
      <c r="Y274" s="5"/>
      <c r="Z274" s="5"/>
      <c r="AA274" s="5"/>
    </row>
    <row r="275" spans="1:27" ht="15.75" customHeight="1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5"/>
      <c r="Y275" s="5"/>
      <c r="Z275" s="5"/>
      <c r="AA275" s="5"/>
    </row>
    <row r="276" spans="1:27" ht="15.75" customHeight="1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5"/>
      <c r="Y276" s="5"/>
      <c r="Z276" s="5"/>
      <c r="AA276" s="5"/>
    </row>
    <row r="277" spans="1:27" ht="15.75" customHeight="1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5"/>
      <c r="Y277" s="5"/>
      <c r="Z277" s="5"/>
      <c r="AA277" s="5"/>
    </row>
    <row r="278" spans="1:27" ht="15.75" customHeight="1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5"/>
      <c r="Y278" s="5"/>
      <c r="Z278" s="5"/>
      <c r="AA278" s="5"/>
    </row>
    <row r="279" spans="1:27" ht="15.75" customHeight="1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5"/>
      <c r="Y279" s="5"/>
      <c r="Z279" s="5"/>
      <c r="AA279" s="5"/>
    </row>
    <row r="280" spans="1:27" ht="15.75" customHeight="1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5"/>
      <c r="Y280" s="5"/>
      <c r="Z280" s="5"/>
      <c r="AA280" s="5"/>
    </row>
    <row r="281" spans="1:27" ht="15.75" customHeight="1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5"/>
      <c r="Y281" s="5"/>
      <c r="Z281" s="5"/>
      <c r="AA281" s="5"/>
    </row>
    <row r="282" spans="1:27" ht="15.75" customHeight="1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5"/>
      <c r="Y282" s="5"/>
      <c r="Z282" s="5"/>
      <c r="AA282" s="5"/>
    </row>
    <row r="283" spans="1:27" ht="15.75" customHeight="1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5"/>
      <c r="Y283" s="5"/>
      <c r="Z283" s="5"/>
      <c r="AA283" s="5"/>
    </row>
    <row r="284" spans="1:27" ht="15.75" customHeight="1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5"/>
      <c r="Y284" s="5"/>
      <c r="Z284" s="5"/>
      <c r="AA284" s="5"/>
    </row>
    <row r="285" spans="1:27" ht="15.75" customHeight="1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5"/>
      <c r="Y285" s="5"/>
      <c r="Z285" s="5"/>
      <c r="AA285" s="5"/>
    </row>
    <row r="286" spans="1:27" ht="15.75" customHeight="1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5"/>
      <c r="Y286" s="5"/>
      <c r="Z286" s="5"/>
      <c r="AA286" s="5"/>
    </row>
    <row r="287" spans="1:27" ht="15.75" customHeight="1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5"/>
      <c r="Y287" s="5"/>
      <c r="Z287" s="5"/>
      <c r="AA287" s="5"/>
    </row>
    <row r="288" spans="1:27" ht="15.75" customHeight="1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5"/>
      <c r="Y288" s="5"/>
      <c r="Z288" s="5"/>
      <c r="AA288" s="5"/>
    </row>
    <row r="289" spans="1:27" ht="15.75" customHeight="1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5"/>
      <c r="Y289" s="5"/>
      <c r="Z289" s="5"/>
      <c r="AA289" s="5"/>
    </row>
    <row r="290" spans="1:27" ht="15.75" customHeight="1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5"/>
      <c r="Y290" s="5"/>
      <c r="Z290" s="5"/>
      <c r="AA290" s="5"/>
    </row>
    <row r="291" spans="1:27" ht="15.75" customHeight="1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5"/>
      <c r="Y291" s="5"/>
      <c r="Z291" s="5"/>
      <c r="AA291" s="5"/>
    </row>
    <row r="292" spans="1:27" ht="15.75" customHeight="1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5"/>
      <c r="Y292" s="5"/>
      <c r="Z292" s="5"/>
      <c r="AA292" s="5"/>
    </row>
    <row r="293" spans="1:27" ht="15.75" customHeight="1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5"/>
      <c r="Y293" s="5"/>
      <c r="Z293" s="5"/>
      <c r="AA293" s="5"/>
    </row>
    <row r="294" spans="1:27" ht="15.75" customHeight="1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5"/>
      <c r="Y294" s="5"/>
      <c r="Z294" s="5"/>
      <c r="AA294" s="5"/>
    </row>
    <row r="295" spans="1:27" ht="15.75" customHeight="1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5"/>
      <c r="Y295" s="5"/>
      <c r="Z295" s="5"/>
      <c r="AA295" s="5"/>
    </row>
    <row r="296" spans="1:27" ht="15.75" customHeight="1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5"/>
      <c r="Y296" s="5"/>
      <c r="Z296" s="5"/>
      <c r="AA296" s="5"/>
    </row>
    <row r="297" spans="1:27" ht="15.75" customHeight="1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5"/>
      <c r="Y297" s="5"/>
      <c r="Z297" s="5"/>
      <c r="AA297" s="5"/>
    </row>
    <row r="298" spans="1:27" ht="15.75" customHeight="1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5"/>
      <c r="Y298" s="5"/>
      <c r="Z298" s="5"/>
      <c r="AA298" s="5"/>
    </row>
    <row r="299" spans="1:27" ht="15.75" customHeight="1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5"/>
      <c r="Y299" s="5"/>
      <c r="Z299" s="5"/>
      <c r="AA299" s="5"/>
    </row>
    <row r="300" spans="1:27" ht="15.75" customHeight="1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</row>
    <row r="301" spans="1:27" ht="15.75" customHeight="1" x14ac:dyDescent="0.25">
      <c r="A301" s="4"/>
      <c r="B301" s="4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</row>
    <row r="302" spans="1:27" ht="15.75" customHeight="1" x14ac:dyDescent="0.25">
      <c r="A302" s="4"/>
      <c r="B302" s="4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</row>
    <row r="303" spans="1:27" ht="15.75" customHeight="1" x14ac:dyDescent="0.25">
      <c r="A303" s="4"/>
      <c r="B303" s="4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</row>
    <row r="304" spans="1:27" ht="15.75" customHeight="1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</row>
    <row r="305" spans="1:23" ht="15.75" customHeight="1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</row>
    <row r="306" spans="1:23" ht="15.75" customHeight="1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</row>
    <row r="307" spans="1:23" ht="15.75" customHeight="1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</row>
    <row r="308" spans="1:23" ht="15.75" customHeight="1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</row>
    <row r="309" spans="1:23" ht="15.75" customHeight="1" x14ac:dyDescent="0.2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</row>
    <row r="310" spans="1:23" ht="15.75" customHeight="1" x14ac:dyDescent="0.2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</row>
    <row r="311" spans="1:23" ht="15.75" customHeight="1" x14ac:dyDescent="0.2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</row>
    <row r="312" spans="1:23" ht="15.75" customHeight="1" x14ac:dyDescent="0.2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</row>
    <row r="313" spans="1:23" ht="15.75" customHeight="1" x14ac:dyDescent="0.2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</row>
    <row r="314" spans="1:23" ht="15.75" customHeight="1" x14ac:dyDescent="0.2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</row>
    <row r="315" spans="1:23" ht="15.75" customHeight="1" x14ac:dyDescent="0.2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</row>
    <row r="316" spans="1:23" ht="15.75" customHeight="1" x14ac:dyDescent="0.2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</row>
    <row r="317" spans="1:23" ht="15.75" customHeight="1" x14ac:dyDescent="0.2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</row>
    <row r="318" spans="1:23" ht="15.75" customHeight="1" x14ac:dyDescent="0.2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</row>
    <row r="319" spans="1:23" ht="15.75" customHeight="1" x14ac:dyDescent="0.2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</row>
    <row r="320" spans="1:23" ht="15.75" customHeight="1" x14ac:dyDescent="0.2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</row>
    <row r="321" spans="1:23" ht="15.75" customHeight="1" x14ac:dyDescent="0.2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</row>
    <row r="322" spans="1:23" ht="15.75" customHeight="1" x14ac:dyDescent="0.2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</row>
    <row r="323" spans="1:23" ht="15.75" customHeight="1" x14ac:dyDescent="0.2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</row>
    <row r="324" spans="1:23" ht="15.75" customHeight="1" x14ac:dyDescent="0.2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</row>
    <row r="325" spans="1:23" ht="15.75" customHeight="1" x14ac:dyDescent="0.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</row>
    <row r="326" spans="1:23" ht="15.75" customHeight="1" x14ac:dyDescent="0.2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</row>
    <row r="327" spans="1:23" ht="15.75" customHeight="1" x14ac:dyDescent="0.2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</row>
    <row r="328" spans="1:23" ht="15.75" customHeight="1" x14ac:dyDescent="0.2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</row>
    <row r="329" spans="1:23" ht="15.75" customHeight="1" x14ac:dyDescent="0.2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</row>
    <row r="330" spans="1:23" ht="15.75" customHeight="1" x14ac:dyDescent="0.2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</row>
    <row r="331" spans="1:23" ht="15.75" customHeight="1" x14ac:dyDescent="0.2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</row>
    <row r="332" spans="1:23" ht="15.75" customHeight="1" x14ac:dyDescent="0.2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</row>
    <row r="333" spans="1:23" ht="15.75" customHeight="1" x14ac:dyDescent="0.2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</row>
    <row r="334" spans="1:23" ht="15.75" customHeight="1" x14ac:dyDescent="0.2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</row>
    <row r="335" spans="1:23" ht="15.75" customHeight="1" x14ac:dyDescent="0.2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</row>
    <row r="336" spans="1:23" ht="15.75" customHeight="1" x14ac:dyDescent="0.2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</row>
    <row r="337" spans="1:23" ht="15.75" customHeight="1" x14ac:dyDescent="0.2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</row>
    <row r="338" spans="1:23" ht="15.75" customHeight="1" x14ac:dyDescent="0.2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</row>
    <row r="339" spans="1:23" ht="15.75" customHeight="1" x14ac:dyDescent="0.2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</row>
    <row r="340" spans="1:23" ht="15.75" customHeight="1" x14ac:dyDescent="0.2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</row>
    <row r="341" spans="1:23" ht="15.75" customHeight="1" x14ac:dyDescent="0.2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</row>
    <row r="342" spans="1:23" ht="15.75" customHeight="1" x14ac:dyDescent="0.2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</row>
    <row r="343" spans="1:23" ht="15.75" customHeight="1" x14ac:dyDescent="0.2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</row>
    <row r="344" spans="1:23" ht="15.75" customHeight="1" x14ac:dyDescent="0.2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</row>
    <row r="345" spans="1:23" ht="15.75" customHeight="1" x14ac:dyDescent="0.2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</row>
    <row r="346" spans="1:23" ht="15.75" customHeight="1" x14ac:dyDescent="0.2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</row>
    <row r="347" spans="1:23" ht="15.75" customHeight="1" x14ac:dyDescent="0.2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</row>
    <row r="348" spans="1:23" ht="15.75" customHeight="1" x14ac:dyDescent="0.2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</row>
    <row r="349" spans="1:23" ht="15.75" customHeight="1" x14ac:dyDescent="0.2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</row>
    <row r="350" spans="1:23" ht="15.75" customHeight="1" x14ac:dyDescent="0.2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</row>
    <row r="351" spans="1:23" ht="15.75" customHeight="1" x14ac:dyDescent="0.2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</row>
    <row r="352" spans="1:23" ht="15.75" customHeight="1" x14ac:dyDescent="0.2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</row>
    <row r="353" spans="1:23" ht="15.75" customHeight="1" x14ac:dyDescent="0.2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</row>
    <row r="354" spans="1:23" ht="15.75" customHeight="1" x14ac:dyDescent="0.2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</row>
    <row r="355" spans="1:23" ht="15.75" customHeight="1" x14ac:dyDescent="0.2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</row>
    <row r="356" spans="1:23" ht="15.75" customHeight="1" x14ac:dyDescent="0.2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</row>
    <row r="357" spans="1:23" ht="15.75" customHeight="1" x14ac:dyDescent="0.2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</row>
    <row r="358" spans="1:23" ht="15.75" customHeight="1" x14ac:dyDescent="0.2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</row>
    <row r="359" spans="1:23" ht="15.75" customHeight="1" x14ac:dyDescent="0.2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</row>
    <row r="360" spans="1:23" ht="15.75" customHeight="1" x14ac:dyDescent="0.2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</row>
    <row r="361" spans="1:23" ht="15.75" customHeight="1" x14ac:dyDescent="0.2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</row>
    <row r="362" spans="1:23" ht="15.75" customHeight="1" x14ac:dyDescent="0.2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</row>
    <row r="363" spans="1:23" ht="15.75" customHeight="1" x14ac:dyDescent="0.2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</row>
    <row r="364" spans="1:23" ht="15.75" customHeight="1" x14ac:dyDescent="0.2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</row>
    <row r="365" spans="1:23" ht="15.75" customHeight="1" x14ac:dyDescent="0.2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</row>
    <row r="366" spans="1:23" ht="15.75" customHeight="1" x14ac:dyDescent="0.2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</row>
    <row r="367" spans="1:23" ht="15.75" customHeight="1" x14ac:dyDescent="0.2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</row>
    <row r="368" spans="1:23" ht="15.75" customHeight="1" x14ac:dyDescent="0.2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</row>
    <row r="369" spans="1:23" ht="15.75" customHeight="1" x14ac:dyDescent="0.2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</row>
    <row r="370" spans="1:23" ht="15.75" customHeight="1" x14ac:dyDescent="0.2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</row>
    <row r="371" spans="1:23" ht="15.75" customHeight="1" x14ac:dyDescent="0.2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</row>
    <row r="372" spans="1:23" ht="15.75" customHeight="1" x14ac:dyDescent="0.2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</row>
    <row r="373" spans="1:23" ht="15.75" customHeight="1" x14ac:dyDescent="0.2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</row>
    <row r="374" spans="1:23" ht="15.75" customHeight="1" x14ac:dyDescent="0.2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</row>
    <row r="375" spans="1:23" ht="15.75" customHeight="1" x14ac:dyDescent="0.2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</row>
    <row r="376" spans="1:23" ht="15.75" customHeight="1" x14ac:dyDescent="0.2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</row>
    <row r="377" spans="1:23" ht="15.75" customHeight="1" x14ac:dyDescent="0.2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</row>
    <row r="378" spans="1:23" ht="15.75" customHeight="1" x14ac:dyDescent="0.2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</row>
    <row r="379" spans="1:23" ht="15.75" customHeight="1" x14ac:dyDescent="0.2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</row>
    <row r="380" spans="1:23" ht="15.75" customHeight="1" x14ac:dyDescent="0.2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</row>
    <row r="381" spans="1:23" ht="15.75" customHeight="1" x14ac:dyDescent="0.2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</row>
    <row r="382" spans="1:23" ht="15.75" customHeight="1" x14ac:dyDescent="0.2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</row>
    <row r="383" spans="1:23" ht="15.75" customHeight="1" x14ac:dyDescent="0.2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</row>
    <row r="384" spans="1:23" ht="15.75" customHeight="1" x14ac:dyDescent="0.2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</row>
    <row r="385" spans="1:23" ht="15.75" customHeight="1" x14ac:dyDescent="0.2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</row>
    <row r="386" spans="1:23" ht="15.75" customHeight="1" x14ac:dyDescent="0.2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</row>
    <row r="387" spans="1:23" ht="15.75" customHeight="1" x14ac:dyDescent="0.2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</row>
    <row r="388" spans="1:23" ht="15.75" customHeight="1" x14ac:dyDescent="0.2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</row>
    <row r="389" spans="1:23" ht="15.75" customHeight="1" x14ac:dyDescent="0.2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</row>
    <row r="390" spans="1:23" ht="15.75" customHeight="1" x14ac:dyDescent="0.2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</row>
    <row r="391" spans="1:23" ht="15.75" customHeight="1" x14ac:dyDescent="0.2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</row>
    <row r="392" spans="1:23" ht="15.75" customHeight="1" x14ac:dyDescent="0.2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</row>
    <row r="393" spans="1:23" ht="15.75" customHeight="1" x14ac:dyDescent="0.2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</row>
    <row r="394" spans="1:23" ht="15.75" customHeight="1" x14ac:dyDescent="0.2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</row>
    <row r="395" spans="1:23" ht="15.75" customHeight="1" x14ac:dyDescent="0.2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</row>
    <row r="396" spans="1:23" ht="15.75" customHeight="1" x14ac:dyDescent="0.2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</row>
    <row r="397" spans="1:23" ht="15.75" customHeight="1" x14ac:dyDescent="0.2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</row>
    <row r="398" spans="1:23" ht="15.75" customHeight="1" x14ac:dyDescent="0.2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</row>
    <row r="399" spans="1:23" ht="15.75" customHeight="1" x14ac:dyDescent="0.2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</row>
    <row r="400" spans="1:23" ht="15.75" customHeight="1" x14ac:dyDescent="0.2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</row>
    <row r="401" spans="1:23" ht="15.75" customHeight="1" x14ac:dyDescent="0.2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</row>
    <row r="402" spans="1:23" ht="15.75" customHeight="1" x14ac:dyDescent="0.2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</row>
    <row r="403" spans="1:23" ht="15.75" customHeight="1" x14ac:dyDescent="0.2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</row>
    <row r="404" spans="1:23" ht="15.75" customHeight="1" x14ac:dyDescent="0.2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</row>
    <row r="405" spans="1:23" ht="15.75" customHeight="1" x14ac:dyDescent="0.2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</row>
    <row r="406" spans="1:23" ht="15.75" customHeight="1" x14ac:dyDescent="0.2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</row>
    <row r="407" spans="1:23" ht="15.75" customHeight="1" x14ac:dyDescent="0.2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</row>
    <row r="408" spans="1:23" ht="15.75" customHeight="1" x14ac:dyDescent="0.2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</row>
    <row r="409" spans="1:23" ht="15.75" customHeight="1" x14ac:dyDescent="0.2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</row>
    <row r="410" spans="1:23" ht="15.75" customHeight="1" x14ac:dyDescent="0.2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</row>
    <row r="411" spans="1:23" ht="15.75" customHeight="1" x14ac:dyDescent="0.2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</row>
    <row r="412" spans="1:23" ht="15.75" customHeight="1" x14ac:dyDescent="0.2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</row>
    <row r="413" spans="1:23" ht="15.75" customHeight="1" x14ac:dyDescent="0.2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</row>
    <row r="414" spans="1:23" ht="15.75" customHeight="1" x14ac:dyDescent="0.2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</row>
    <row r="415" spans="1:23" ht="15.75" customHeight="1" x14ac:dyDescent="0.2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</row>
    <row r="416" spans="1:23" ht="15.75" customHeight="1" x14ac:dyDescent="0.2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</row>
    <row r="417" spans="1:23" ht="15.75" customHeight="1" x14ac:dyDescent="0.2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</row>
    <row r="418" spans="1:23" ht="15.75" customHeight="1" x14ac:dyDescent="0.2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</row>
    <row r="419" spans="1:23" ht="15.75" customHeight="1" x14ac:dyDescent="0.2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</row>
    <row r="420" spans="1:23" ht="15.75" customHeight="1" x14ac:dyDescent="0.2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</row>
    <row r="421" spans="1:23" ht="15.75" customHeight="1" x14ac:dyDescent="0.2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</row>
    <row r="422" spans="1:23" ht="15.75" customHeight="1" x14ac:dyDescent="0.2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</row>
    <row r="423" spans="1:23" ht="15.75" customHeight="1" x14ac:dyDescent="0.2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</row>
    <row r="424" spans="1:23" ht="15.75" customHeight="1" x14ac:dyDescent="0.2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</row>
    <row r="425" spans="1:23" ht="15.75" customHeight="1" x14ac:dyDescent="0.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</row>
    <row r="426" spans="1:23" ht="15.75" customHeight="1" x14ac:dyDescent="0.2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</row>
    <row r="427" spans="1:23" ht="15.75" customHeight="1" x14ac:dyDescent="0.2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</row>
    <row r="428" spans="1:23" ht="15.75" customHeight="1" x14ac:dyDescent="0.2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</row>
    <row r="429" spans="1:23" ht="15.75" customHeight="1" x14ac:dyDescent="0.2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</row>
    <row r="430" spans="1:23" ht="15.75" customHeight="1" x14ac:dyDescent="0.2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</row>
    <row r="431" spans="1:23" ht="15.75" customHeight="1" x14ac:dyDescent="0.2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</row>
    <row r="432" spans="1:23" ht="15.75" customHeight="1" x14ac:dyDescent="0.2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</row>
    <row r="433" spans="1:23" ht="15.75" customHeight="1" x14ac:dyDescent="0.2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</row>
    <row r="434" spans="1:23" ht="15.75" customHeight="1" x14ac:dyDescent="0.2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</row>
    <row r="435" spans="1:23" ht="15.75" customHeight="1" x14ac:dyDescent="0.2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</row>
    <row r="436" spans="1:23" ht="15.75" customHeight="1" x14ac:dyDescent="0.2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</row>
    <row r="437" spans="1:23" ht="15.75" customHeight="1" x14ac:dyDescent="0.2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</row>
    <row r="438" spans="1:23" ht="15.75" customHeight="1" x14ac:dyDescent="0.2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</row>
    <row r="439" spans="1:23" ht="15.75" customHeight="1" x14ac:dyDescent="0.2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</row>
    <row r="440" spans="1:23" ht="15.75" customHeight="1" x14ac:dyDescent="0.2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</row>
    <row r="441" spans="1:23" ht="15.75" customHeight="1" x14ac:dyDescent="0.2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</row>
    <row r="442" spans="1:23" ht="15.75" customHeight="1" x14ac:dyDescent="0.2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</row>
    <row r="443" spans="1:23" ht="15.75" customHeight="1" x14ac:dyDescent="0.2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</row>
    <row r="444" spans="1:23" ht="15.75" customHeight="1" x14ac:dyDescent="0.2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</row>
    <row r="445" spans="1:23" ht="15.75" customHeight="1" x14ac:dyDescent="0.2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</row>
    <row r="446" spans="1:23" ht="15.75" customHeight="1" x14ac:dyDescent="0.2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</row>
    <row r="447" spans="1:23" ht="15.75" customHeight="1" x14ac:dyDescent="0.2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</row>
    <row r="448" spans="1:23" ht="15.75" customHeight="1" x14ac:dyDescent="0.2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</row>
    <row r="449" spans="1:23" ht="15.75" customHeight="1" x14ac:dyDescent="0.2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</row>
    <row r="450" spans="1:23" ht="15.75" customHeight="1" x14ac:dyDescent="0.2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</row>
    <row r="451" spans="1:23" ht="15.75" customHeight="1" x14ac:dyDescent="0.2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</row>
    <row r="452" spans="1:23" ht="15.75" customHeight="1" x14ac:dyDescent="0.2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</row>
    <row r="453" spans="1:23" ht="15.75" customHeight="1" x14ac:dyDescent="0.2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</row>
    <row r="454" spans="1:23" ht="15.75" customHeight="1" x14ac:dyDescent="0.2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</row>
    <row r="455" spans="1:23" ht="15.75" customHeight="1" x14ac:dyDescent="0.2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</row>
    <row r="456" spans="1:23" ht="15.75" customHeight="1" x14ac:dyDescent="0.2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</row>
    <row r="457" spans="1:23" ht="15.75" customHeight="1" x14ac:dyDescent="0.2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</row>
    <row r="458" spans="1:23" ht="15.75" customHeight="1" x14ac:dyDescent="0.2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</row>
    <row r="459" spans="1:23" ht="15.75" customHeight="1" x14ac:dyDescent="0.2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</row>
    <row r="460" spans="1:23" ht="15.75" customHeight="1" x14ac:dyDescent="0.2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</row>
    <row r="461" spans="1:23" ht="15.75" customHeight="1" x14ac:dyDescent="0.2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</row>
    <row r="462" spans="1:23" ht="15.75" customHeight="1" x14ac:dyDescent="0.2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</row>
    <row r="463" spans="1:23" ht="15.75" customHeight="1" x14ac:dyDescent="0.2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</row>
    <row r="464" spans="1:23" ht="15.75" customHeight="1" x14ac:dyDescent="0.2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</row>
    <row r="465" spans="1:23" ht="15.75" customHeight="1" x14ac:dyDescent="0.2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</row>
    <row r="466" spans="1:23" ht="15.75" customHeight="1" x14ac:dyDescent="0.2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</row>
    <row r="467" spans="1:23" ht="15.75" customHeight="1" x14ac:dyDescent="0.2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</row>
    <row r="468" spans="1:23" ht="15.75" customHeight="1" x14ac:dyDescent="0.2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</row>
    <row r="469" spans="1:23" ht="15.75" customHeight="1" x14ac:dyDescent="0.2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</row>
    <row r="470" spans="1:23" ht="15.75" customHeight="1" x14ac:dyDescent="0.2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</row>
    <row r="471" spans="1:23" ht="15.75" customHeight="1" x14ac:dyDescent="0.2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</row>
    <row r="472" spans="1:23" ht="15.75" customHeight="1" x14ac:dyDescent="0.2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</row>
    <row r="473" spans="1:23" ht="15.75" customHeight="1" x14ac:dyDescent="0.2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</row>
    <row r="474" spans="1:23" ht="15.75" customHeight="1" x14ac:dyDescent="0.2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</row>
    <row r="475" spans="1:23" ht="15.75" customHeight="1" x14ac:dyDescent="0.2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</row>
    <row r="476" spans="1:23" ht="15.75" customHeight="1" x14ac:dyDescent="0.2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</row>
    <row r="477" spans="1:23" ht="15.75" customHeight="1" x14ac:dyDescent="0.2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</row>
    <row r="478" spans="1:23" ht="15.75" customHeight="1" x14ac:dyDescent="0.2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</row>
    <row r="479" spans="1:23" ht="15.75" customHeight="1" x14ac:dyDescent="0.2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</row>
    <row r="480" spans="1:23" ht="15.75" customHeight="1" x14ac:dyDescent="0.2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</row>
    <row r="481" spans="1:23" ht="15.75" customHeight="1" x14ac:dyDescent="0.2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</row>
    <row r="482" spans="1:23" ht="15.75" customHeight="1" x14ac:dyDescent="0.2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</row>
    <row r="483" spans="1:23" ht="15.75" customHeight="1" x14ac:dyDescent="0.2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</row>
    <row r="484" spans="1:23" ht="15.75" customHeight="1" x14ac:dyDescent="0.2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</row>
    <row r="485" spans="1:23" ht="15.75" customHeight="1" x14ac:dyDescent="0.2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</row>
    <row r="486" spans="1:23" ht="15.75" customHeight="1" x14ac:dyDescent="0.2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</row>
    <row r="487" spans="1:23" ht="15.75" customHeight="1" x14ac:dyDescent="0.2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</row>
    <row r="488" spans="1:23" ht="15.75" customHeight="1" x14ac:dyDescent="0.2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</row>
    <row r="489" spans="1:23" ht="15.75" customHeight="1" x14ac:dyDescent="0.2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</row>
    <row r="490" spans="1:23" ht="15.75" customHeight="1" x14ac:dyDescent="0.2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</row>
    <row r="491" spans="1:23" ht="15.75" customHeight="1" x14ac:dyDescent="0.2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</row>
    <row r="492" spans="1:23" ht="15.75" customHeight="1" x14ac:dyDescent="0.2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</row>
    <row r="493" spans="1:23" ht="15.75" customHeight="1" x14ac:dyDescent="0.2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</row>
    <row r="494" spans="1:23" ht="15.75" customHeight="1" x14ac:dyDescent="0.2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</row>
    <row r="495" spans="1:23" ht="15.75" customHeight="1" x14ac:dyDescent="0.2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</row>
    <row r="496" spans="1:23" ht="15.75" customHeight="1" x14ac:dyDescent="0.2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</row>
    <row r="497" spans="1:23" ht="15.75" customHeight="1" x14ac:dyDescent="0.2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</row>
    <row r="498" spans="1:23" ht="15.75" customHeight="1" x14ac:dyDescent="0.2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</row>
    <row r="499" spans="1:23" ht="15.75" customHeight="1" x14ac:dyDescent="0.2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</row>
    <row r="500" spans="1:23" ht="15.75" customHeight="1" x14ac:dyDescent="0.2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</row>
    <row r="501" spans="1:23" ht="15.75" customHeight="1" x14ac:dyDescent="0.2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</row>
    <row r="502" spans="1:23" ht="15.75" customHeight="1" x14ac:dyDescent="0.2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</row>
    <row r="503" spans="1:23" ht="15.75" customHeight="1" x14ac:dyDescent="0.2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</row>
    <row r="504" spans="1:23" ht="15.75" customHeight="1" x14ac:dyDescent="0.2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</row>
    <row r="505" spans="1:23" ht="15.75" customHeight="1" x14ac:dyDescent="0.2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</row>
    <row r="506" spans="1:23" ht="15.75" customHeight="1" x14ac:dyDescent="0.2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</row>
    <row r="507" spans="1:23" ht="15.75" customHeight="1" x14ac:dyDescent="0.2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</row>
    <row r="508" spans="1:23" ht="15.75" customHeight="1" x14ac:dyDescent="0.2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</row>
    <row r="509" spans="1:23" ht="15.75" customHeight="1" x14ac:dyDescent="0.2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</row>
    <row r="510" spans="1:23" ht="15.75" customHeight="1" x14ac:dyDescent="0.2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</row>
    <row r="511" spans="1:23" ht="15.75" customHeight="1" x14ac:dyDescent="0.2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</row>
    <row r="512" spans="1:23" ht="15.75" customHeight="1" x14ac:dyDescent="0.2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</row>
    <row r="513" spans="1:23" ht="15.75" customHeight="1" x14ac:dyDescent="0.2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</row>
    <row r="514" spans="1:23" ht="15.75" customHeight="1" x14ac:dyDescent="0.2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</row>
    <row r="515" spans="1:23" ht="15.75" customHeight="1" x14ac:dyDescent="0.2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</row>
    <row r="516" spans="1:23" ht="15.75" customHeight="1" x14ac:dyDescent="0.2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</row>
    <row r="517" spans="1:23" ht="15.75" customHeight="1" x14ac:dyDescent="0.2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</row>
    <row r="518" spans="1:23" ht="15.75" customHeight="1" x14ac:dyDescent="0.2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</row>
    <row r="519" spans="1:23" ht="15.75" customHeight="1" x14ac:dyDescent="0.2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</row>
    <row r="520" spans="1:23" ht="15.75" customHeight="1" x14ac:dyDescent="0.2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</row>
    <row r="521" spans="1:23" ht="15.75" customHeight="1" x14ac:dyDescent="0.2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</row>
    <row r="522" spans="1:23" ht="15.75" customHeight="1" x14ac:dyDescent="0.2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</row>
    <row r="523" spans="1:23" ht="15.75" customHeight="1" x14ac:dyDescent="0.2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</row>
    <row r="524" spans="1:23" ht="15.75" customHeight="1" x14ac:dyDescent="0.2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</row>
    <row r="525" spans="1:23" ht="15.75" customHeight="1" x14ac:dyDescent="0.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</row>
    <row r="526" spans="1:23" ht="15.75" customHeight="1" x14ac:dyDescent="0.2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</row>
    <row r="527" spans="1:23" ht="15.75" customHeight="1" x14ac:dyDescent="0.2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</row>
    <row r="528" spans="1:23" ht="15.75" customHeight="1" x14ac:dyDescent="0.2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</row>
    <row r="529" spans="1:23" ht="15.75" customHeight="1" x14ac:dyDescent="0.2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</row>
    <row r="530" spans="1:23" ht="15.75" customHeight="1" x14ac:dyDescent="0.2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</row>
    <row r="531" spans="1:23" ht="15.75" customHeight="1" x14ac:dyDescent="0.2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</row>
    <row r="532" spans="1:23" ht="15.75" customHeight="1" x14ac:dyDescent="0.2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</row>
    <row r="533" spans="1:23" ht="15.75" customHeight="1" x14ac:dyDescent="0.2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</row>
    <row r="534" spans="1:23" ht="15.75" customHeight="1" x14ac:dyDescent="0.2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</row>
    <row r="535" spans="1:23" ht="15.75" customHeight="1" x14ac:dyDescent="0.2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</row>
    <row r="536" spans="1:23" ht="15.75" customHeight="1" x14ac:dyDescent="0.2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</row>
    <row r="537" spans="1:23" ht="15.75" customHeight="1" x14ac:dyDescent="0.2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</row>
    <row r="538" spans="1:23" ht="15.75" customHeight="1" x14ac:dyDescent="0.2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</row>
    <row r="539" spans="1:23" ht="15.75" customHeight="1" x14ac:dyDescent="0.2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</row>
    <row r="540" spans="1:23" ht="15.75" customHeight="1" x14ac:dyDescent="0.2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</row>
    <row r="541" spans="1:23" ht="15.75" customHeight="1" x14ac:dyDescent="0.2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</row>
    <row r="542" spans="1:23" ht="15.75" customHeight="1" x14ac:dyDescent="0.2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</row>
    <row r="543" spans="1:23" ht="15.75" customHeight="1" x14ac:dyDescent="0.2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</row>
    <row r="544" spans="1:23" ht="15.75" customHeight="1" x14ac:dyDescent="0.2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</row>
    <row r="545" spans="1:23" ht="15.75" customHeight="1" x14ac:dyDescent="0.2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</row>
    <row r="546" spans="1:23" ht="15.75" customHeight="1" x14ac:dyDescent="0.2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</row>
    <row r="547" spans="1:23" ht="15.75" customHeight="1" x14ac:dyDescent="0.2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</row>
    <row r="548" spans="1:23" ht="15.75" customHeight="1" x14ac:dyDescent="0.2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</row>
    <row r="549" spans="1:23" ht="15.75" customHeight="1" x14ac:dyDescent="0.2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</row>
    <row r="550" spans="1:23" ht="15.75" customHeight="1" x14ac:dyDescent="0.2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</row>
    <row r="551" spans="1:23" ht="15.75" customHeight="1" x14ac:dyDescent="0.2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</row>
    <row r="552" spans="1:23" ht="15.75" customHeight="1" x14ac:dyDescent="0.2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</row>
    <row r="553" spans="1:23" ht="15.75" customHeight="1" x14ac:dyDescent="0.2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</row>
    <row r="554" spans="1:23" ht="15.75" customHeight="1" x14ac:dyDescent="0.2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</row>
    <row r="555" spans="1:23" ht="15.75" customHeight="1" x14ac:dyDescent="0.2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</row>
    <row r="556" spans="1:23" ht="15.75" customHeight="1" x14ac:dyDescent="0.2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</row>
    <row r="557" spans="1:23" ht="15.75" customHeight="1" x14ac:dyDescent="0.2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</row>
    <row r="558" spans="1:23" ht="15.75" customHeight="1" x14ac:dyDescent="0.2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</row>
    <row r="559" spans="1:23" ht="15.75" customHeight="1" x14ac:dyDescent="0.2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</row>
    <row r="560" spans="1:23" ht="15.75" customHeight="1" x14ac:dyDescent="0.2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</row>
    <row r="561" spans="1:23" ht="15.75" customHeight="1" x14ac:dyDescent="0.2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</row>
    <row r="562" spans="1:23" ht="15.75" customHeight="1" x14ac:dyDescent="0.2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</row>
    <row r="563" spans="1:23" ht="15.75" customHeight="1" x14ac:dyDescent="0.2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</row>
    <row r="564" spans="1:23" ht="15.75" customHeight="1" x14ac:dyDescent="0.2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</row>
    <row r="565" spans="1:23" ht="15.75" customHeight="1" x14ac:dyDescent="0.2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</row>
    <row r="566" spans="1:23" ht="15.75" customHeight="1" x14ac:dyDescent="0.2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</row>
    <row r="567" spans="1:23" ht="15.75" customHeight="1" x14ac:dyDescent="0.2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</row>
    <row r="568" spans="1:23" ht="15.75" customHeight="1" x14ac:dyDescent="0.2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</row>
    <row r="569" spans="1:23" ht="15.75" customHeight="1" x14ac:dyDescent="0.2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</row>
    <row r="570" spans="1:23" ht="15.75" customHeight="1" x14ac:dyDescent="0.2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</row>
    <row r="571" spans="1:23" ht="15.75" customHeight="1" x14ac:dyDescent="0.2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</row>
    <row r="572" spans="1:23" ht="15.75" customHeight="1" x14ac:dyDescent="0.2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</row>
    <row r="573" spans="1:23" ht="15.75" customHeight="1" x14ac:dyDescent="0.2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</row>
    <row r="574" spans="1:23" ht="15.75" customHeight="1" x14ac:dyDescent="0.2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</row>
    <row r="575" spans="1:23" ht="15.75" customHeight="1" x14ac:dyDescent="0.2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</row>
    <row r="576" spans="1:23" ht="15.75" customHeight="1" x14ac:dyDescent="0.2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</row>
    <row r="577" spans="1:23" ht="15.75" customHeight="1" x14ac:dyDescent="0.2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</row>
    <row r="578" spans="1:23" ht="15.75" customHeight="1" x14ac:dyDescent="0.2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</row>
    <row r="579" spans="1:23" ht="15.75" customHeight="1" x14ac:dyDescent="0.2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</row>
    <row r="580" spans="1:23" ht="15.75" customHeight="1" x14ac:dyDescent="0.2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</row>
    <row r="581" spans="1:23" ht="15.75" customHeight="1" x14ac:dyDescent="0.2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</row>
    <row r="582" spans="1:23" ht="15.75" customHeight="1" x14ac:dyDescent="0.2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</row>
    <row r="583" spans="1:23" ht="15.75" customHeight="1" x14ac:dyDescent="0.2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</row>
    <row r="584" spans="1:23" ht="15.75" customHeight="1" x14ac:dyDescent="0.2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</row>
    <row r="585" spans="1:23" ht="15.75" customHeight="1" x14ac:dyDescent="0.2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</row>
    <row r="586" spans="1:23" ht="15.75" customHeight="1" x14ac:dyDescent="0.2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</row>
    <row r="587" spans="1:23" ht="15.75" customHeight="1" x14ac:dyDescent="0.2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</row>
    <row r="588" spans="1:23" ht="15.75" customHeight="1" x14ac:dyDescent="0.2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</row>
    <row r="589" spans="1:23" ht="15.75" customHeight="1" x14ac:dyDescent="0.2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</row>
    <row r="590" spans="1:23" ht="15.75" customHeight="1" x14ac:dyDescent="0.2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</row>
    <row r="591" spans="1:23" ht="15.75" customHeight="1" x14ac:dyDescent="0.2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</row>
    <row r="592" spans="1:23" ht="15.75" customHeight="1" x14ac:dyDescent="0.2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</row>
    <row r="593" spans="1:23" ht="15.75" customHeight="1" x14ac:dyDescent="0.2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</row>
    <row r="594" spans="1:23" ht="15.75" customHeight="1" x14ac:dyDescent="0.2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</row>
    <row r="595" spans="1:23" ht="15.75" customHeight="1" x14ac:dyDescent="0.2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</row>
    <row r="596" spans="1:23" ht="15.75" customHeight="1" x14ac:dyDescent="0.2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</row>
    <row r="597" spans="1:23" ht="15.75" customHeight="1" x14ac:dyDescent="0.2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</row>
    <row r="598" spans="1:23" ht="15.75" customHeight="1" x14ac:dyDescent="0.2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</row>
    <row r="599" spans="1:23" ht="15.75" customHeight="1" x14ac:dyDescent="0.2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</row>
    <row r="600" spans="1:23" ht="15.75" customHeight="1" x14ac:dyDescent="0.2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</row>
    <row r="601" spans="1:23" ht="15.75" customHeight="1" x14ac:dyDescent="0.2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</row>
    <row r="602" spans="1:23" ht="15.75" customHeight="1" x14ac:dyDescent="0.2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</row>
    <row r="603" spans="1:23" ht="15.75" customHeight="1" x14ac:dyDescent="0.2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</row>
    <row r="604" spans="1:23" ht="15.75" customHeight="1" x14ac:dyDescent="0.2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</row>
    <row r="605" spans="1:23" ht="15.75" customHeight="1" x14ac:dyDescent="0.2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</row>
    <row r="606" spans="1:23" ht="15.75" customHeight="1" x14ac:dyDescent="0.2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</row>
    <row r="607" spans="1:23" ht="15.75" customHeight="1" x14ac:dyDescent="0.2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</row>
    <row r="608" spans="1:23" ht="15.75" customHeight="1" x14ac:dyDescent="0.2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</row>
    <row r="609" spans="1:23" ht="15.75" customHeight="1" x14ac:dyDescent="0.2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</row>
    <row r="610" spans="1:23" ht="15.75" customHeight="1" x14ac:dyDescent="0.2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</row>
    <row r="611" spans="1:23" ht="15.75" customHeight="1" x14ac:dyDescent="0.2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</row>
    <row r="612" spans="1:23" ht="15.75" customHeight="1" x14ac:dyDescent="0.2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</row>
    <row r="613" spans="1:23" ht="15.75" customHeight="1" x14ac:dyDescent="0.2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</row>
    <row r="614" spans="1:23" ht="15.75" customHeight="1" x14ac:dyDescent="0.2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</row>
    <row r="615" spans="1:23" ht="15.75" customHeight="1" x14ac:dyDescent="0.2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</row>
    <row r="616" spans="1:23" ht="15.75" customHeight="1" x14ac:dyDescent="0.2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</row>
    <row r="617" spans="1:23" ht="15.75" customHeight="1" x14ac:dyDescent="0.2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</row>
    <row r="618" spans="1:23" ht="15.75" customHeight="1" x14ac:dyDescent="0.2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</row>
    <row r="619" spans="1:23" ht="15.75" customHeight="1" x14ac:dyDescent="0.2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</row>
    <row r="620" spans="1:23" ht="15.75" customHeight="1" x14ac:dyDescent="0.2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</row>
    <row r="621" spans="1:23" ht="15.75" customHeight="1" x14ac:dyDescent="0.2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</row>
    <row r="622" spans="1:23" ht="15.75" customHeight="1" x14ac:dyDescent="0.2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</row>
    <row r="623" spans="1:23" ht="15.75" customHeight="1" x14ac:dyDescent="0.2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</row>
    <row r="624" spans="1:23" ht="15.75" customHeight="1" x14ac:dyDescent="0.2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</row>
    <row r="625" spans="1:23" ht="15.75" customHeight="1" x14ac:dyDescent="0.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</row>
    <row r="626" spans="1:23" ht="15.75" customHeight="1" x14ac:dyDescent="0.2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</row>
    <row r="627" spans="1:23" ht="15.75" customHeight="1" x14ac:dyDescent="0.2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</row>
    <row r="628" spans="1:23" ht="15.75" customHeight="1" x14ac:dyDescent="0.2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</row>
    <row r="629" spans="1:23" ht="15.75" customHeight="1" x14ac:dyDescent="0.2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</row>
    <row r="630" spans="1:23" ht="15.75" customHeight="1" x14ac:dyDescent="0.2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</row>
    <row r="631" spans="1:23" ht="15.75" customHeight="1" x14ac:dyDescent="0.2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</row>
    <row r="632" spans="1:23" ht="15.75" customHeight="1" x14ac:dyDescent="0.2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</row>
    <row r="633" spans="1:23" ht="15.75" customHeight="1" x14ac:dyDescent="0.2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</row>
    <row r="634" spans="1:23" ht="15.75" customHeight="1" x14ac:dyDescent="0.2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</row>
    <row r="635" spans="1:23" ht="15.75" customHeight="1" x14ac:dyDescent="0.2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</row>
    <row r="636" spans="1:23" ht="15.75" customHeight="1" x14ac:dyDescent="0.2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</row>
    <row r="637" spans="1:23" ht="15.75" customHeight="1" x14ac:dyDescent="0.2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</row>
    <row r="638" spans="1:23" ht="15.75" customHeight="1" x14ac:dyDescent="0.2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</row>
    <row r="639" spans="1:23" ht="15.75" customHeight="1" x14ac:dyDescent="0.2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</row>
    <row r="640" spans="1:23" ht="15.75" customHeight="1" x14ac:dyDescent="0.2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</row>
    <row r="641" spans="1:23" ht="15.75" customHeight="1" x14ac:dyDescent="0.2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</row>
    <row r="642" spans="1:23" ht="15.75" customHeight="1" x14ac:dyDescent="0.2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</row>
    <row r="643" spans="1:23" ht="15.75" customHeight="1" x14ac:dyDescent="0.2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</row>
    <row r="644" spans="1:23" ht="15.75" customHeight="1" x14ac:dyDescent="0.2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</row>
    <row r="645" spans="1:23" ht="15.75" customHeight="1" x14ac:dyDescent="0.2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</row>
    <row r="646" spans="1:23" ht="15.75" customHeight="1" x14ac:dyDescent="0.2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</row>
    <row r="647" spans="1:23" ht="15.75" customHeight="1" x14ac:dyDescent="0.2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</row>
    <row r="648" spans="1:23" ht="15.75" customHeight="1" x14ac:dyDescent="0.2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</row>
    <row r="649" spans="1:23" ht="15.75" customHeight="1" x14ac:dyDescent="0.2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</row>
    <row r="650" spans="1:23" ht="15.75" customHeight="1" x14ac:dyDescent="0.2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</row>
    <row r="651" spans="1:23" ht="15.75" customHeight="1" x14ac:dyDescent="0.2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</row>
    <row r="652" spans="1:23" ht="15.75" customHeight="1" x14ac:dyDescent="0.2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</row>
    <row r="653" spans="1:23" ht="15.75" customHeight="1" x14ac:dyDescent="0.2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</row>
    <row r="654" spans="1:23" ht="15.75" customHeight="1" x14ac:dyDescent="0.2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</row>
    <row r="655" spans="1:23" ht="15.75" customHeight="1" x14ac:dyDescent="0.2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</row>
    <row r="656" spans="1:23" ht="15.75" customHeight="1" x14ac:dyDescent="0.2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</row>
    <row r="657" spans="1:23" ht="15.75" customHeight="1" x14ac:dyDescent="0.2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</row>
    <row r="658" spans="1:23" ht="15.75" customHeight="1" x14ac:dyDescent="0.2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</row>
    <row r="659" spans="1:23" ht="15.75" customHeight="1" x14ac:dyDescent="0.2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</row>
    <row r="660" spans="1:23" ht="15.75" customHeight="1" x14ac:dyDescent="0.2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</row>
    <row r="661" spans="1:23" ht="15.75" customHeight="1" x14ac:dyDescent="0.2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</row>
    <row r="662" spans="1:23" ht="15.75" customHeight="1" x14ac:dyDescent="0.2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</row>
    <row r="663" spans="1:23" ht="15.75" customHeight="1" x14ac:dyDescent="0.2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</row>
    <row r="664" spans="1:23" ht="15.75" customHeight="1" x14ac:dyDescent="0.2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</row>
    <row r="665" spans="1:23" ht="15.75" customHeight="1" x14ac:dyDescent="0.2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</row>
    <row r="666" spans="1:23" ht="15.75" customHeight="1" x14ac:dyDescent="0.2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</row>
    <row r="667" spans="1:23" ht="15.75" customHeight="1" x14ac:dyDescent="0.2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</row>
    <row r="668" spans="1:23" ht="15.75" customHeight="1" x14ac:dyDescent="0.2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</row>
    <row r="669" spans="1:23" ht="15.75" customHeight="1" x14ac:dyDescent="0.2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</row>
    <row r="670" spans="1:23" ht="15.75" customHeight="1" x14ac:dyDescent="0.2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</row>
    <row r="671" spans="1:23" ht="15.75" customHeight="1" x14ac:dyDescent="0.2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</row>
    <row r="672" spans="1:23" ht="15.75" customHeight="1" x14ac:dyDescent="0.2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</row>
    <row r="673" spans="1:23" ht="15.75" customHeight="1" x14ac:dyDescent="0.2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</row>
    <row r="674" spans="1:23" ht="15.75" customHeight="1" x14ac:dyDescent="0.2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</row>
    <row r="675" spans="1:23" ht="15.75" customHeight="1" x14ac:dyDescent="0.2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</row>
    <row r="676" spans="1:23" ht="15.75" customHeight="1" x14ac:dyDescent="0.2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</row>
    <row r="677" spans="1:23" ht="15.75" customHeight="1" x14ac:dyDescent="0.2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</row>
    <row r="678" spans="1:23" ht="15.75" customHeight="1" x14ac:dyDescent="0.2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</row>
    <row r="679" spans="1:23" ht="15.75" customHeight="1" x14ac:dyDescent="0.2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</row>
    <row r="680" spans="1:23" ht="15.75" customHeight="1" x14ac:dyDescent="0.2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</row>
    <row r="681" spans="1:23" ht="15.75" customHeight="1" x14ac:dyDescent="0.2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</row>
    <row r="682" spans="1:23" ht="15.75" customHeight="1" x14ac:dyDescent="0.2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</row>
    <row r="683" spans="1:23" ht="15.75" customHeight="1" x14ac:dyDescent="0.2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</row>
    <row r="684" spans="1:23" ht="15.75" customHeight="1" x14ac:dyDescent="0.2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</row>
    <row r="685" spans="1:23" ht="15.75" customHeight="1" x14ac:dyDescent="0.2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</row>
    <row r="686" spans="1:23" ht="15.75" customHeight="1" x14ac:dyDescent="0.2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</row>
    <row r="687" spans="1:23" ht="15.75" customHeight="1" x14ac:dyDescent="0.2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</row>
    <row r="688" spans="1:23" ht="15.75" customHeight="1" x14ac:dyDescent="0.2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</row>
    <row r="689" spans="1:23" ht="15.75" customHeight="1" x14ac:dyDescent="0.2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</row>
    <row r="690" spans="1:23" ht="15.75" customHeight="1" x14ac:dyDescent="0.2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</row>
    <row r="691" spans="1:23" ht="15.75" customHeight="1" x14ac:dyDescent="0.2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</row>
    <row r="692" spans="1:23" ht="15.75" customHeight="1" x14ac:dyDescent="0.2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</row>
    <row r="693" spans="1:23" ht="15.75" customHeight="1" x14ac:dyDescent="0.2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</row>
    <row r="694" spans="1:23" ht="15.75" customHeight="1" x14ac:dyDescent="0.2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</row>
    <row r="695" spans="1:23" ht="15.75" customHeight="1" x14ac:dyDescent="0.2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</row>
    <row r="696" spans="1:23" ht="15.75" customHeight="1" x14ac:dyDescent="0.2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</row>
    <row r="697" spans="1:23" ht="15.75" customHeight="1" x14ac:dyDescent="0.2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</row>
    <row r="698" spans="1:23" ht="15.75" customHeight="1" x14ac:dyDescent="0.2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</row>
    <row r="699" spans="1:23" ht="15.75" customHeight="1" x14ac:dyDescent="0.2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</row>
    <row r="700" spans="1:23" ht="15.75" customHeight="1" x14ac:dyDescent="0.2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</row>
    <row r="701" spans="1:23" ht="15.75" customHeight="1" x14ac:dyDescent="0.2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</row>
    <row r="702" spans="1:23" ht="15.75" customHeight="1" x14ac:dyDescent="0.2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</row>
    <row r="703" spans="1:23" ht="15.75" customHeight="1" x14ac:dyDescent="0.2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</row>
    <row r="704" spans="1:23" ht="15.75" customHeight="1" x14ac:dyDescent="0.2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</row>
    <row r="705" spans="1:23" ht="15.75" customHeight="1" x14ac:dyDescent="0.2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</row>
    <row r="706" spans="1:23" ht="15.75" customHeight="1" x14ac:dyDescent="0.2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</row>
    <row r="707" spans="1:23" ht="15.75" customHeight="1" x14ac:dyDescent="0.2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</row>
    <row r="708" spans="1:23" ht="15.75" customHeight="1" x14ac:dyDescent="0.2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</row>
    <row r="709" spans="1:23" ht="15.75" customHeight="1" x14ac:dyDescent="0.2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</row>
    <row r="710" spans="1:23" ht="15.75" customHeight="1" x14ac:dyDescent="0.2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</row>
    <row r="711" spans="1:23" ht="15.75" customHeight="1" x14ac:dyDescent="0.2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</row>
    <row r="712" spans="1:23" ht="15.75" customHeight="1" x14ac:dyDescent="0.2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</row>
    <row r="713" spans="1:23" ht="15.75" customHeight="1" x14ac:dyDescent="0.2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</row>
    <row r="714" spans="1:23" ht="15.75" customHeight="1" x14ac:dyDescent="0.2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</row>
    <row r="715" spans="1:23" ht="15.75" customHeight="1" x14ac:dyDescent="0.2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</row>
    <row r="716" spans="1:23" ht="15.75" customHeight="1" x14ac:dyDescent="0.2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</row>
    <row r="717" spans="1:23" ht="15.75" customHeight="1" x14ac:dyDescent="0.2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</row>
    <row r="718" spans="1:23" ht="15.75" customHeight="1" x14ac:dyDescent="0.2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</row>
    <row r="719" spans="1:23" ht="15.75" customHeight="1" x14ac:dyDescent="0.2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</row>
    <row r="720" spans="1:23" ht="15.75" customHeight="1" x14ac:dyDescent="0.2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</row>
    <row r="721" spans="1:23" ht="15.75" customHeight="1" x14ac:dyDescent="0.2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</row>
    <row r="722" spans="1:23" ht="15.75" customHeight="1" x14ac:dyDescent="0.2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</row>
    <row r="723" spans="1:23" ht="15.75" customHeight="1" x14ac:dyDescent="0.2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</row>
    <row r="724" spans="1:23" ht="15.75" customHeight="1" x14ac:dyDescent="0.2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</row>
    <row r="725" spans="1:23" ht="15.75" customHeight="1" x14ac:dyDescent="0.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</row>
    <row r="726" spans="1:23" ht="15.75" customHeight="1" x14ac:dyDescent="0.2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</row>
    <row r="727" spans="1:23" ht="15.75" customHeight="1" x14ac:dyDescent="0.2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</row>
    <row r="728" spans="1:23" ht="15.75" customHeight="1" x14ac:dyDescent="0.2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</row>
    <row r="729" spans="1:23" ht="15.75" customHeight="1" x14ac:dyDescent="0.2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</row>
    <row r="730" spans="1:23" ht="15.75" customHeight="1" x14ac:dyDescent="0.2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</row>
    <row r="731" spans="1:23" ht="15.75" customHeight="1" x14ac:dyDescent="0.2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</row>
    <row r="732" spans="1:23" ht="15.75" customHeight="1" x14ac:dyDescent="0.2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</row>
    <row r="733" spans="1:23" ht="15.75" customHeight="1" x14ac:dyDescent="0.2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</row>
    <row r="734" spans="1:23" ht="15.75" customHeight="1" x14ac:dyDescent="0.2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</row>
    <row r="735" spans="1:23" ht="15.75" customHeight="1" x14ac:dyDescent="0.2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</row>
    <row r="736" spans="1:23" ht="15.75" customHeight="1" x14ac:dyDescent="0.2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</row>
    <row r="737" spans="1:23" ht="15.75" customHeight="1" x14ac:dyDescent="0.2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</row>
    <row r="738" spans="1:23" ht="15.75" customHeight="1" x14ac:dyDescent="0.2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</row>
    <row r="739" spans="1:23" ht="15.75" customHeight="1" x14ac:dyDescent="0.2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</row>
    <row r="740" spans="1:23" ht="15.75" customHeight="1" x14ac:dyDescent="0.2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</row>
    <row r="741" spans="1:23" ht="15.75" customHeight="1" x14ac:dyDescent="0.2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</row>
    <row r="742" spans="1:23" ht="15.75" customHeight="1" x14ac:dyDescent="0.2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</row>
    <row r="743" spans="1:23" ht="15.75" customHeight="1" x14ac:dyDescent="0.2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</row>
    <row r="744" spans="1:23" ht="15.75" customHeight="1" x14ac:dyDescent="0.2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</row>
    <row r="745" spans="1:23" ht="15.75" customHeight="1" x14ac:dyDescent="0.2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</row>
    <row r="746" spans="1:23" ht="15.75" customHeight="1" x14ac:dyDescent="0.2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</row>
    <row r="747" spans="1:23" ht="15.75" customHeight="1" x14ac:dyDescent="0.2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</row>
    <row r="748" spans="1:23" ht="15.75" customHeight="1" x14ac:dyDescent="0.2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</row>
    <row r="749" spans="1:23" ht="15.75" customHeight="1" x14ac:dyDescent="0.2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</row>
    <row r="750" spans="1:23" ht="15.75" customHeight="1" x14ac:dyDescent="0.2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</row>
    <row r="751" spans="1:23" ht="15.75" customHeight="1" x14ac:dyDescent="0.2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</row>
    <row r="752" spans="1:23" ht="15.75" customHeight="1" x14ac:dyDescent="0.2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</row>
    <row r="753" spans="1:23" ht="15.75" customHeight="1" x14ac:dyDescent="0.2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</row>
    <row r="754" spans="1:23" ht="15.75" customHeight="1" x14ac:dyDescent="0.2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</row>
    <row r="755" spans="1:23" ht="15.75" customHeight="1" x14ac:dyDescent="0.2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</row>
    <row r="756" spans="1:23" ht="15.75" customHeight="1" x14ac:dyDescent="0.2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</row>
    <row r="757" spans="1:23" ht="15.75" customHeight="1" x14ac:dyDescent="0.2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</row>
    <row r="758" spans="1:23" ht="15.75" customHeight="1" x14ac:dyDescent="0.2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</row>
    <row r="759" spans="1:23" ht="15.75" customHeight="1" x14ac:dyDescent="0.2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</row>
    <row r="760" spans="1:23" ht="15.75" customHeight="1" x14ac:dyDescent="0.2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</row>
    <row r="761" spans="1:23" ht="15.75" customHeight="1" x14ac:dyDescent="0.2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</row>
    <row r="762" spans="1:23" ht="15.75" customHeight="1" x14ac:dyDescent="0.2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</row>
    <row r="763" spans="1:23" ht="15.75" customHeight="1" x14ac:dyDescent="0.2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</row>
    <row r="764" spans="1:23" ht="15.75" customHeight="1" x14ac:dyDescent="0.2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</row>
    <row r="765" spans="1:23" ht="15.75" customHeight="1" x14ac:dyDescent="0.2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</row>
    <row r="766" spans="1:23" ht="15.75" customHeight="1" x14ac:dyDescent="0.2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</row>
    <row r="767" spans="1:23" ht="15.75" customHeight="1" x14ac:dyDescent="0.2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</row>
    <row r="768" spans="1:23" ht="15.75" customHeight="1" x14ac:dyDescent="0.2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</row>
    <row r="769" spans="1:23" ht="15.75" customHeight="1" x14ac:dyDescent="0.2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</row>
    <row r="770" spans="1:23" ht="15.75" customHeight="1" x14ac:dyDescent="0.2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</row>
    <row r="771" spans="1:23" ht="15.75" customHeight="1" x14ac:dyDescent="0.2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</row>
    <row r="772" spans="1:23" ht="15.75" customHeight="1" x14ac:dyDescent="0.2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</row>
    <row r="773" spans="1:23" ht="15.75" customHeight="1" x14ac:dyDescent="0.2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</row>
    <row r="774" spans="1:23" ht="15.75" customHeight="1" x14ac:dyDescent="0.2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</row>
    <row r="775" spans="1:23" ht="15.75" customHeight="1" x14ac:dyDescent="0.2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</row>
    <row r="776" spans="1:23" ht="15.75" customHeight="1" x14ac:dyDescent="0.2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</row>
    <row r="777" spans="1:23" ht="15.75" customHeight="1" x14ac:dyDescent="0.2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</row>
    <row r="778" spans="1:23" ht="15.75" customHeight="1" x14ac:dyDescent="0.2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</row>
    <row r="779" spans="1:23" ht="15.75" customHeight="1" x14ac:dyDescent="0.2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</row>
    <row r="780" spans="1:23" ht="15.75" customHeight="1" x14ac:dyDescent="0.2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</row>
    <row r="781" spans="1:23" ht="15.75" customHeight="1" x14ac:dyDescent="0.2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</row>
    <row r="782" spans="1:23" ht="15.75" customHeight="1" x14ac:dyDescent="0.2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</row>
    <row r="783" spans="1:23" ht="15.75" customHeight="1" x14ac:dyDescent="0.2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</row>
    <row r="784" spans="1:23" ht="15.75" customHeight="1" x14ac:dyDescent="0.2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</row>
    <row r="785" spans="1:23" ht="15.75" customHeight="1" x14ac:dyDescent="0.2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</row>
    <row r="786" spans="1:23" ht="15.75" customHeight="1" x14ac:dyDescent="0.2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</row>
    <row r="787" spans="1:23" ht="15.75" customHeight="1" x14ac:dyDescent="0.2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</row>
    <row r="788" spans="1:23" ht="15.75" customHeight="1" x14ac:dyDescent="0.2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</row>
    <row r="789" spans="1:23" ht="15.75" customHeight="1" x14ac:dyDescent="0.2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</row>
    <row r="790" spans="1:23" ht="15.75" customHeight="1" x14ac:dyDescent="0.2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</row>
    <row r="791" spans="1:23" ht="15.75" customHeight="1" x14ac:dyDescent="0.2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</row>
    <row r="792" spans="1:23" ht="15.75" customHeight="1" x14ac:dyDescent="0.2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</row>
    <row r="793" spans="1:23" ht="15.75" customHeight="1" x14ac:dyDescent="0.2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</row>
    <row r="794" spans="1:23" ht="15.75" customHeight="1" x14ac:dyDescent="0.2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</row>
    <row r="795" spans="1:23" ht="15.75" customHeight="1" x14ac:dyDescent="0.2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</row>
    <row r="796" spans="1:23" ht="15.75" customHeight="1" x14ac:dyDescent="0.2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</row>
    <row r="797" spans="1:23" ht="15.75" customHeight="1" x14ac:dyDescent="0.2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</row>
    <row r="798" spans="1:23" ht="15.75" customHeight="1" x14ac:dyDescent="0.2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</row>
    <row r="799" spans="1:23" ht="15.75" customHeight="1" x14ac:dyDescent="0.2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</row>
    <row r="800" spans="1:23" ht="15.75" customHeight="1" x14ac:dyDescent="0.2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</row>
    <row r="801" spans="1:23" ht="15.75" customHeight="1" x14ac:dyDescent="0.2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</row>
    <row r="802" spans="1:23" ht="15.75" customHeight="1" x14ac:dyDescent="0.2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</row>
    <row r="803" spans="1:23" ht="15.75" customHeight="1" x14ac:dyDescent="0.2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</row>
    <row r="804" spans="1:23" ht="15.75" customHeight="1" x14ac:dyDescent="0.2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</row>
    <row r="805" spans="1:23" ht="15.75" customHeight="1" x14ac:dyDescent="0.2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</row>
    <row r="806" spans="1:23" ht="15.75" customHeight="1" x14ac:dyDescent="0.2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</row>
    <row r="807" spans="1:23" ht="15.75" customHeight="1" x14ac:dyDescent="0.2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</row>
    <row r="808" spans="1:23" ht="15.75" customHeight="1" x14ac:dyDescent="0.2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</row>
    <row r="809" spans="1:23" ht="15.75" customHeight="1" x14ac:dyDescent="0.2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</row>
    <row r="810" spans="1:23" ht="15.75" customHeight="1" x14ac:dyDescent="0.2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</row>
    <row r="811" spans="1:23" ht="15.75" customHeight="1" x14ac:dyDescent="0.2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</row>
    <row r="812" spans="1:23" ht="15.75" customHeight="1" x14ac:dyDescent="0.2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</row>
    <row r="813" spans="1:23" ht="15.75" customHeight="1" x14ac:dyDescent="0.2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</row>
    <row r="814" spans="1:23" ht="15.75" customHeight="1" x14ac:dyDescent="0.2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</row>
    <row r="815" spans="1:23" ht="15.75" customHeight="1" x14ac:dyDescent="0.2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</row>
    <row r="816" spans="1:23" ht="15.75" customHeight="1" x14ac:dyDescent="0.2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</row>
    <row r="817" spans="1:23" ht="15.75" customHeight="1" x14ac:dyDescent="0.2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</row>
    <row r="818" spans="1:23" ht="15.75" customHeight="1" x14ac:dyDescent="0.2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</row>
    <row r="819" spans="1:23" ht="15.75" customHeight="1" x14ac:dyDescent="0.2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</row>
    <row r="820" spans="1:23" ht="15.75" customHeight="1" x14ac:dyDescent="0.2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</row>
    <row r="821" spans="1:23" ht="15.75" customHeight="1" x14ac:dyDescent="0.2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</row>
    <row r="822" spans="1:23" ht="15.75" customHeight="1" x14ac:dyDescent="0.2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</row>
    <row r="823" spans="1:23" ht="15.75" customHeight="1" x14ac:dyDescent="0.2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</row>
    <row r="824" spans="1:23" ht="15.75" customHeight="1" x14ac:dyDescent="0.2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</row>
    <row r="825" spans="1:23" ht="15.75" customHeight="1" x14ac:dyDescent="0.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</row>
    <row r="826" spans="1:23" ht="15.75" customHeight="1" x14ac:dyDescent="0.2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</row>
    <row r="827" spans="1:23" ht="15.75" customHeight="1" x14ac:dyDescent="0.2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</row>
    <row r="828" spans="1:23" ht="15.75" customHeight="1" x14ac:dyDescent="0.2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</row>
    <row r="829" spans="1:23" ht="15.75" customHeight="1" x14ac:dyDescent="0.2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</row>
    <row r="830" spans="1:23" ht="15.75" customHeight="1" x14ac:dyDescent="0.2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</row>
    <row r="831" spans="1:23" ht="15.75" customHeight="1" x14ac:dyDescent="0.2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</row>
    <row r="832" spans="1:23" ht="15.75" customHeight="1" x14ac:dyDescent="0.2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</row>
    <row r="833" spans="1:23" ht="15.75" customHeight="1" x14ac:dyDescent="0.2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</row>
    <row r="834" spans="1:23" ht="15.75" customHeight="1" x14ac:dyDescent="0.2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</row>
    <row r="835" spans="1:23" ht="15.75" customHeight="1" x14ac:dyDescent="0.2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</row>
    <row r="836" spans="1:23" ht="15.75" customHeight="1" x14ac:dyDescent="0.2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</row>
    <row r="837" spans="1:23" ht="15.75" customHeight="1" x14ac:dyDescent="0.2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</row>
    <row r="838" spans="1:23" ht="15.75" customHeight="1" x14ac:dyDescent="0.2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</row>
    <row r="839" spans="1:23" ht="15.75" customHeight="1" x14ac:dyDescent="0.2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</row>
    <row r="840" spans="1:23" ht="15.75" customHeight="1" x14ac:dyDescent="0.2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</row>
    <row r="841" spans="1:23" ht="15.75" customHeight="1" x14ac:dyDescent="0.2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</row>
    <row r="842" spans="1:23" ht="15.75" customHeight="1" x14ac:dyDescent="0.2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</row>
    <row r="843" spans="1:23" ht="15.75" customHeight="1" x14ac:dyDescent="0.2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</row>
    <row r="844" spans="1:23" ht="15.75" customHeight="1" x14ac:dyDescent="0.2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</row>
    <row r="845" spans="1:23" ht="15.75" customHeight="1" x14ac:dyDescent="0.2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</row>
    <row r="846" spans="1:23" ht="15.75" customHeight="1" x14ac:dyDescent="0.2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</row>
    <row r="847" spans="1:23" ht="15.75" customHeight="1" x14ac:dyDescent="0.2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</row>
    <row r="848" spans="1:23" ht="15.75" customHeight="1" x14ac:dyDescent="0.2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</row>
    <row r="849" spans="1:23" ht="15.75" customHeight="1" x14ac:dyDescent="0.2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</row>
    <row r="850" spans="1:23" ht="15.75" customHeight="1" x14ac:dyDescent="0.2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</row>
    <row r="851" spans="1:23" ht="15.75" customHeight="1" x14ac:dyDescent="0.2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</row>
    <row r="852" spans="1:23" ht="15.75" customHeight="1" x14ac:dyDescent="0.2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</row>
    <row r="853" spans="1:23" ht="15.75" customHeight="1" x14ac:dyDescent="0.2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</row>
    <row r="854" spans="1:23" ht="15.75" customHeight="1" x14ac:dyDescent="0.2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</row>
    <row r="855" spans="1:23" ht="15.75" customHeight="1" x14ac:dyDescent="0.2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</row>
    <row r="856" spans="1:23" ht="15.75" customHeight="1" x14ac:dyDescent="0.2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</row>
    <row r="857" spans="1:23" ht="15.75" customHeight="1" x14ac:dyDescent="0.2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</row>
    <row r="858" spans="1:23" ht="15.75" customHeight="1" x14ac:dyDescent="0.2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</row>
    <row r="859" spans="1:23" ht="15.75" customHeight="1" x14ac:dyDescent="0.2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</row>
    <row r="860" spans="1:23" ht="15.75" customHeight="1" x14ac:dyDescent="0.2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</row>
    <row r="861" spans="1:23" ht="15.75" customHeight="1" x14ac:dyDescent="0.2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</row>
    <row r="862" spans="1:23" ht="15.75" customHeight="1" x14ac:dyDescent="0.2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</row>
    <row r="863" spans="1:23" ht="15.75" customHeight="1" x14ac:dyDescent="0.2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</row>
    <row r="864" spans="1:23" ht="15.75" customHeight="1" x14ac:dyDescent="0.2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</row>
    <row r="865" spans="1:23" ht="15.75" customHeight="1" x14ac:dyDescent="0.2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</row>
    <row r="866" spans="1:23" ht="15.75" customHeight="1" x14ac:dyDescent="0.2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</row>
    <row r="867" spans="1:23" ht="15.75" customHeight="1" x14ac:dyDescent="0.2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</row>
    <row r="868" spans="1:23" ht="15.75" customHeight="1" x14ac:dyDescent="0.2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</row>
    <row r="869" spans="1:23" ht="15.75" customHeight="1" x14ac:dyDescent="0.2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</row>
    <row r="870" spans="1:23" ht="15.75" customHeight="1" x14ac:dyDescent="0.2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</row>
    <row r="871" spans="1:23" ht="15.75" customHeight="1" x14ac:dyDescent="0.2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</row>
    <row r="872" spans="1:23" ht="15.75" customHeight="1" x14ac:dyDescent="0.2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</row>
    <row r="873" spans="1:23" ht="15.75" customHeight="1" x14ac:dyDescent="0.2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</row>
    <row r="874" spans="1:23" ht="15.75" customHeight="1" x14ac:dyDescent="0.2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</row>
    <row r="875" spans="1:23" ht="15.75" customHeight="1" x14ac:dyDescent="0.2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</row>
    <row r="876" spans="1:23" ht="15.75" customHeight="1" x14ac:dyDescent="0.2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</row>
    <row r="877" spans="1:23" ht="15.75" customHeight="1" x14ac:dyDescent="0.2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</row>
    <row r="878" spans="1:23" ht="15.75" customHeight="1" x14ac:dyDescent="0.2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</row>
    <row r="879" spans="1:23" ht="15.75" customHeight="1" x14ac:dyDescent="0.2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</row>
    <row r="880" spans="1:23" ht="15.75" customHeight="1" x14ac:dyDescent="0.2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</row>
    <row r="881" spans="1:23" ht="15.75" customHeight="1" x14ac:dyDescent="0.2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</row>
    <row r="882" spans="1:23" ht="15.75" customHeight="1" x14ac:dyDescent="0.2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</row>
    <row r="883" spans="1:23" ht="15.75" customHeight="1" x14ac:dyDescent="0.2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</row>
    <row r="884" spans="1:23" ht="15.75" customHeight="1" x14ac:dyDescent="0.2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</row>
    <row r="885" spans="1:23" ht="15.75" customHeight="1" x14ac:dyDescent="0.2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</row>
    <row r="886" spans="1:23" ht="15.75" customHeight="1" x14ac:dyDescent="0.2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</row>
    <row r="887" spans="1:23" ht="15.75" customHeight="1" x14ac:dyDescent="0.2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</row>
    <row r="888" spans="1:23" ht="15.75" customHeight="1" x14ac:dyDescent="0.2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</row>
    <row r="889" spans="1:23" ht="15.75" customHeight="1" x14ac:dyDescent="0.2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</row>
    <row r="890" spans="1:23" ht="15.75" customHeight="1" x14ac:dyDescent="0.2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</row>
    <row r="891" spans="1:23" ht="15.75" customHeight="1" x14ac:dyDescent="0.2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</row>
    <row r="892" spans="1:23" ht="15.75" customHeight="1" x14ac:dyDescent="0.2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</row>
    <row r="893" spans="1:23" ht="15.75" customHeight="1" x14ac:dyDescent="0.2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</row>
    <row r="894" spans="1:23" ht="15.75" customHeight="1" x14ac:dyDescent="0.2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</row>
    <row r="895" spans="1:23" ht="15.75" customHeight="1" x14ac:dyDescent="0.2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</row>
    <row r="896" spans="1:23" ht="15.75" customHeight="1" x14ac:dyDescent="0.2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</row>
    <row r="897" spans="1:23" ht="15.75" customHeight="1" x14ac:dyDescent="0.2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</row>
    <row r="898" spans="1:23" ht="15.75" customHeight="1" x14ac:dyDescent="0.2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</row>
    <row r="899" spans="1:23" ht="15.75" customHeight="1" x14ac:dyDescent="0.2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</row>
    <row r="900" spans="1:23" ht="15.75" customHeight="1" x14ac:dyDescent="0.2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</row>
    <row r="901" spans="1:23" ht="15.75" customHeight="1" x14ac:dyDescent="0.2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</row>
    <row r="902" spans="1:23" ht="15.75" customHeight="1" x14ac:dyDescent="0.2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</row>
    <row r="903" spans="1:23" ht="15.75" customHeight="1" x14ac:dyDescent="0.2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</row>
    <row r="904" spans="1:23" ht="15.75" customHeight="1" x14ac:dyDescent="0.2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</row>
    <row r="905" spans="1:23" ht="15.75" customHeight="1" x14ac:dyDescent="0.2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</row>
    <row r="906" spans="1:23" ht="15.75" customHeight="1" x14ac:dyDescent="0.2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</row>
    <row r="907" spans="1:23" ht="15.75" customHeight="1" x14ac:dyDescent="0.2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</row>
    <row r="908" spans="1:23" ht="15.75" customHeight="1" x14ac:dyDescent="0.2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</row>
    <row r="909" spans="1:23" ht="15.75" customHeight="1" x14ac:dyDescent="0.2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</row>
    <row r="910" spans="1:23" ht="15.75" customHeight="1" x14ac:dyDescent="0.2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</row>
    <row r="911" spans="1:23" ht="15.75" customHeight="1" x14ac:dyDescent="0.2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</row>
    <row r="912" spans="1:23" ht="15.75" customHeight="1" x14ac:dyDescent="0.2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</row>
    <row r="913" spans="1:23" ht="15.75" customHeight="1" x14ac:dyDescent="0.2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</row>
    <row r="914" spans="1:23" ht="15.75" customHeight="1" x14ac:dyDescent="0.2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</row>
    <row r="915" spans="1:23" ht="15.75" customHeight="1" x14ac:dyDescent="0.2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</row>
    <row r="916" spans="1:23" ht="15.75" customHeight="1" x14ac:dyDescent="0.2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</row>
    <row r="917" spans="1:23" ht="15.75" customHeight="1" x14ac:dyDescent="0.2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</row>
    <row r="918" spans="1:23" ht="15.75" customHeight="1" x14ac:dyDescent="0.2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</row>
    <row r="919" spans="1:23" ht="15.75" customHeight="1" x14ac:dyDescent="0.2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</row>
    <row r="920" spans="1:23" ht="15.75" customHeight="1" x14ac:dyDescent="0.2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</row>
    <row r="921" spans="1:23" ht="15.75" customHeight="1" x14ac:dyDescent="0.2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</row>
    <row r="922" spans="1:23" ht="15.75" customHeight="1" x14ac:dyDescent="0.2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</row>
    <row r="923" spans="1:23" ht="15.75" customHeight="1" x14ac:dyDescent="0.2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</row>
    <row r="924" spans="1:23" ht="15.75" customHeight="1" x14ac:dyDescent="0.2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</row>
    <row r="925" spans="1:23" ht="15.75" customHeight="1" x14ac:dyDescent="0.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</row>
    <row r="926" spans="1:23" ht="15.75" customHeight="1" x14ac:dyDescent="0.2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</row>
    <row r="927" spans="1:23" ht="15.75" customHeight="1" x14ac:dyDescent="0.2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</row>
    <row r="928" spans="1:23" ht="15.75" customHeight="1" x14ac:dyDescent="0.2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</row>
    <row r="929" spans="1:23" ht="15.75" customHeight="1" x14ac:dyDescent="0.2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</row>
    <row r="930" spans="1:23" ht="15.75" customHeight="1" x14ac:dyDescent="0.2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</row>
    <row r="931" spans="1:23" ht="15.75" customHeight="1" x14ac:dyDescent="0.2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</row>
    <row r="932" spans="1:23" ht="15.75" customHeight="1" x14ac:dyDescent="0.2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</row>
    <row r="933" spans="1:23" ht="15.75" customHeight="1" x14ac:dyDescent="0.2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</row>
    <row r="934" spans="1:23" ht="15.75" customHeight="1" x14ac:dyDescent="0.2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</row>
    <row r="935" spans="1:23" ht="15.75" customHeight="1" x14ac:dyDescent="0.2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</row>
    <row r="936" spans="1:23" ht="15.75" customHeight="1" x14ac:dyDescent="0.2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</row>
    <row r="937" spans="1:23" ht="15.75" customHeight="1" x14ac:dyDescent="0.2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</row>
    <row r="938" spans="1:23" ht="15.75" customHeight="1" x14ac:dyDescent="0.2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</row>
    <row r="939" spans="1:23" ht="15.75" customHeight="1" x14ac:dyDescent="0.2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</row>
    <row r="940" spans="1:23" ht="15.75" customHeight="1" x14ac:dyDescent="0.2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</row>
    <row r="941" spans="1:23" ht="15.75" customHeight="1" x14ac:dyDescent="0.2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</row>
    <row r="942" spans="1:23" ht="15.75" customHeight="1" x14ac:dyDescent="0.2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</row>
    <row r="943" spans="1:23" ht="15.75" customHeight="1" x14ac:dyDescent="0.2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</row>
    <row r="944" spans="1:23" ht="15.75" customHeight="1" x14ac:dyDescent="0.2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</row>
    <row r="945" spans="1:23" ht="15.75" customHeight="1" x14ac:dyDescent="0.2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</row>
    <row r="946" spans="1:23" ht="15.75" customHeight="1" x14ac:dyDescent="0.2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</row>
    <row r="947" spans="1:23" ht="15.75" customHeight="1" x14ac:dyDescent="0.2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</row>
    <row r="948" spans="1:23" ht="15.75" customHeight="1" x14ac:dyDescent="0.2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</row>
    <row r="949" spans="1:23" ht="15.75" customHeight="1" x14ac:dyDescent="0.2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</row>
    <row r="950" spans="1:23" ht="15.75" customHeight="1" x14ac:dyDescent="0.2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</row>
    <row r="951" spans="1:23" ht="15.75" customHeight="1" x14ac:dyDescent="0.2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</row>
    <row r="952" spans="1:23" ht="15.75" customHeight="1" x14ac:dyDescent="0.2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</row>
    <row r="953" spans="1:23" ht="15.75" customHeight="1" x14ac:dyDescent="0.2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</row>
    <row r="954" spans="1:23" ht="15.75" customHeight="1" x14ac:dyDescent="0.2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</row>
    <row r="955" spans="1:23" ht="15.75" customHeight="1" x14ac:dyDescent="0.2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</row>
    <row r="956" spans="1:23" ht="15.75" customHeight="1" x14ac:dyDescent="0.2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</row>
    <row r="957" spans="1:23" ht="15.75" customHeight="1" x14ac:dyDescent="0.2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</row>
    <row r="958" spans="1:23" ht="15.75" customHeight="1" x14ac:dyDescent="0.2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</row>
    <row r="959" spans="1:23" ht="15.75" customHeight="1" x14ac:dyDescent="0.2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</row>
    <row r="960" spans="1:23" ht="15.75" customHeight="1" x14ac:dyDescent="0.2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</row>
    <row r="961" spans="1:23" ht="15.75" customHeight="1" x14ac:dyDescent="0.2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</row>
    <row r="962" spans="1:23" ht="15.75" customHeight="1" x14ac:dyDescent="0.2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</row>
    <row r="963" spans="1:23" ht="15.75" customHeight="1" x14ac:dyDescent="0.2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</row>
    <row r="964" spans="1:23" ht="15.75" customHeight="1" x14ac:dyDescent="0.2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</row>
    <row r="965" spans="1:23" ht="15.75" customHeight="1" x14ac:dyDescent="0.2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</row>
    <row r="966" spans="1:23" ht="15.75" customHeight="1" x14ac:dyDescent="0.2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</row>
    <row r="967" spans="1:23" ht="15.75" customHeight="1" x14ac:dyDescent="0.2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</row>
    <row r="968" spans="1:23" ht="15.75" customHeight="1" x14ac:dyDescent="0.2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</row>
    <row r="969" spans="1:23" ht="15.75" customHeight="1" x14ac:dyDescent="0.2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</row>
    <row r="970" spans="1:23" ht="15.75" customHeight="1" x14ac:dyDescent="0.2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</row>
    <row r="971" spans="1:23" ht="15.75" customHeight="1" x14ac:dyDescent="0.2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</row>
    <row r="972" spans="1:23" ht="15.75" customHeight="1" x14ac:dyDescent="0.2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</row>
    <row r="973" spans="1:23" ht="15.75" customHeight="1" x14ac:dyDescent="0.2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</row>
    <row r="974" spans="1:23" ht="15.75" customHeight="1" x14ac:dyDescent="0.2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</row>
    <row r="975" spans="1:23" ht="15.75" customHeight="1" x14ac:dyDescent="0.2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</row>
    <row r="976" spans="1:23" ht="15.75" customHeight="1" x14ac:dyDescent="0.2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</row>
    <row r="977" spans="1:23" ht="15.75" customHeight="1" x14ac:dyDescent="0.2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</row>
    <row r="978" spans="1:23" ht="15.75" customHeight="1" x14ac:dyDescent="0.2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</row>
    <row r="979" spans="1:23" ht="15.75" customHeight="1" x14ac:dyDescent="0.2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</row>
    <row r="980" spans="1:23" ht="15.75" customHeight="1" x14ac:dyDescent="0.2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</row>
    <row r="981" spans="1:23" ht="15.75" customHeight="1" x14ac:dyDescent="0.2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</row>
    <row r="982" spans="1:23" ht="15.75" customHeight="1" x14ac:dyDescent="0.2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</row>
    <row r="983" spans="1:23" ht="15.75" customHeight="1" x14ac:dyDescent="0.2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</row>
    <row r="984" spans="1:23" ht="15.75" customHeight="1" x14ac:dyDescent="0.2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</row>
    <row r="985" spans="1:23" ht="15.75" customHeight="1" x14ac:dyDescent="0.2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</row>
    <row r="986" spans="1:23" ht="15.75" customHeight="1" x14ac:dyDescent="0.2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</row>
    <row r="987" spans="1:23" ht="15.75" customHeight="1" x14ac:dyDescent="0.2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</row>
    <row r="988" spans="1:23" ht="15.75" customHeight="1" x14ac:dyDescent="0.2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</row>
    <row r="989" spans="1:23" ht="15.75" customHeight="1" x14ac:dyDescent="0.2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</row>
    <row r="990" spans="1:23" ht="15.75" customHeight="1" x14ac:dyDescent="0.2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</row>
    <row r="991" spans="1:23" ht="15.75" customHeight="1" x14ac:dyDescent="0.2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</row>
    <row r="992" spans="1:23" ht="15.75" customHeight="1" x14ac:dyDescent="0.2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</row>
    <row r="993" spans="1:23" ht="15.75" customHeight="1" x14ac:dyDescent="0.2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</row>
    <row r="994" spans="1:23" ht="15.75" customHeight="1" x14ac:dyDescent="0.2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</row>
    <row r="995" spans="1:23" ht="15.75" customHeight="1" x14ac:dyDescent="0.2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</row>
    <row r="996" spans="1:23" ht="15.75" customHeight="1" x14ac:dyDescent="0.2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</row>
    <row r="997" spans="1:23" ht="15.75" customHeight="1" x14ac:dyDescent="0.2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</row>
    <row r="998" spans="1:23" ht="15.75" customHeight="1" x14ac:dyDescent="0.2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</row>
    <row r="999" spans="1:23" ht="15.75" customHeight="1" x14ac:dyDescent="0.2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</row>
    <row r="1000" spans="1:23" ht="15.75" customHeight="1" x14ac:dyDescent="0.2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</row>
    <row r="1001" spans="1:23" ht="15.75" customHeight="1" x14ac:dyDescent="0.25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</row>
    <row r="1002" spans="1:23" ht="15.75" customHeight="1" x14ac:dyDescent="0.25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</row>
    <row r="1003" spans="1:23" ht="15.75" customHeight="1" x14ac:dyDescent="0.25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</row>
    <row r="1004" spans="1:23" ht="15.75" customHeight="1" x14ac:dyDescent="0.25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</row>
    <row r="1005" spans="1:23" ht="15.75" customHeight="1" x14ac:dyDescent="0.2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</row>
    <row r="1006" spans="1:23" ht="15.75" customHeight="1" x14ac:dyDescent="0.25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</row>
    <row r="1007" spans="1:23" ht="15.75" customHeight="1" x14ac:dyDescent="0.25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</row>
    <row r="1008" spans="1:23" ht="15.75" customHeight="1" x14ac:dyDescent="0.25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</row>
    <row r="1009" spans="1:23" ht="15.75" customHeight="1" x14ac:dyDescent="0.25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</row>
    <row r="1010" spans="1:23" ht="15.75" customHeight="1" x14ac:dyDescent="0.25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</row>
    <row r="1011" spans="1:23" ht="15.75" customHeight="1" x14ac:dyDescent="0.25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</row>
    <row r="1012" spans="1:23" ht="15.75" customHeight="1" x14ac:dyDescent="0.25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</row>
    <row r="1013" spans="1:23" ht="15.75" customHeight="1" x14ac:dyDescent="0.25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</row>
    <row r="1014" spans="1:23" ht="15.75" customHeight="1" x14ac:dyDescent="0.25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</row>
    <row r="1015" spans="1:23" ht="15.75" customHeight="1" x14ac:dyDescent="0.2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</row>
    <row r="1016" spans="1:23" ht="15.75" customHeight="1" x14ac:dyDescent="0.25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</row>
    <row r="1017" spans="1:23" ht="15.75" customHeight="1" x14ac:dyDescent="0.25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</row>
    <row r="1018" spans="1:23" ht="15.75" customHeight="1" x14ac:dyDescent="0.25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</row>
    <row r="1019" spans="1:23" ht="15.75" customHeight="1" x14ac:dyDescent="0.25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</row>
    <row r="1020" spans="1:23" ht="15.75" customHeight="1" x14ac:dyDescent="0.25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</row>
    <row r="1021" spans="1:23" ht="15.75" customHeight="1" x14ac:dyDescent="0.25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</row>
    <row r="1022" spans="1:23" ht="15.75" customHeight="1" x14ac:dyDescent="0.25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</row>
    <row r="1023" spans="1:23" ht="15.75" customHeight="1" x14ac:dyDescent="0.25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</row>
    <row r="1024" spans="1:23" ht="15.75" customHeight="1" x14ac:dyDescent="0.25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</row>
    <row r="1025" spans="1:23" ht="15.75" customHeight="1" x14ac:dyDescent="0.25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</row>
    <row r="1026" spans="1:23" ht="15.75" customHeight="1" x14ac:dyDescent="0.25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</row>
    <row r="1027" spans="1:23" ht="15.75" customHeight="1" x14ac:dyDescent="0.25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</row>
    <row r="1028" spans="1:23" ht="15.75" customHeight="1" x14ac:dyDescent="0.25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</row>
    <row r="1029" spans="1:23" ht="15.75" customHeight="1" x14ac:dyDescent="0.25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</row>
    <row r="1030" spans="1:23" ht="15.75" customHeight="1" x14ac:dyDescent="0.25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</row>
    <row r="1031" spans="1:23" ht="15.75" customHeight="1" x14ac:dyDescent="0.25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</row>
    <row r="1032" spans="1:23" ht="15.75" customHeight="1" x14ac:dyDescent="0.25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</row>
    <row r="1033" spans="1:23" ht="15.75" customHeight="1" x14ac:dyDescent="0.25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</row>
    <row r="1034" spans="1:23" ht="15.75" customHeight="1" x14ac:dyDescent="0.25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</row>
    <row r="1035" spans="1:23" ht="15.75" customHeight="1" x14ac:dyDescent="0.25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</row>
    <row r="1036" spans="1:23" ht="15.75" customHeight="1" x14ac:dyDescent="0.25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</row>
    <row r="1037" spans="1:23" ht="15.75" customHeight="1" x14ac:dyDescent="0.25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</row>
    <row r="1038" spans="1:23" ht="15.75" customHeight="1" x14ac:dyDescent="0.25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</row>
    <row r="1039" spans="1:23" ht="15.75" customHeight="1" x14ac:dyDescent="0.25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</row>
    <row r="1040" spans="1:23" ht="15.75" customHeight="1" x14ac:dyDescent="0.25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</row>
    <row r="1041" spans="1:23" ht="15.75" customHeight="1" x14ac:dyDescent="0.25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</row>
    <row r="1042" spans="1:23" ht="15.75" customHeight="1" x14ac:dyDescent="0.25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</row>
    <row r="1043" spans="1:23" ht="15.75" customHeight="1" x14ac:dyDescent="0.25">
      <c r="A1043" s="4"/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</row>
    <row r="1044" spans="1:23" ht="15.75" customHeight="1" x14ac:dyDescent="0.25">
      <c r="A1044" s="4"/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</row>
    <row r="1045" spans="1:23" ht="15.75" customHeight="1" x14ac:dyDescent="0.25">
      <c r="A1045" s="4"/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</row>
    <row r="1046" spans="1:23" ht="15.75" customHeight="1" x14ac:dyDescent="0.25">
      <c r="A1046" s="4"/>
      <c r="B1046" s="4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</row>
    <row r="1047" spans="1:23" ht="15.75" customHeight="1" x14ac:dyDescent="0.25">
      <c r="A1047" s="4"/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</row>
    <row r="1048" spans="1:23" ht="15.75" customHeight="1" x14ac:dyDescent="0.25">
      <c r="A1048" s="4"/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</row>
    <row r="1049" spans="1:23" ht="15.75" customHeight="1" x14ac:dyDescent="0.25">
      <c r="A1049" s="4"/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</row>
    <row r="1050" spans="1:23" ht="15.75" customHeight="1" x14ac:dyDescent="0.25">
      <c r="A1050" s="4"/>
      <c r="B1050" s="4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</row>
    <row r="1051" spans="1:23" ht="15.75" customHeight="1" x14ac:dyDescent="0.25">
      <c r="A1051" s="4"/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</row>
    <row r="1052" spans="1:23" ht="15.75" customHeight="1" x14ac:dyDescent="0.25">
      <c r="A1052" s="4"/>
      <c r="B1052" s="4"/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</row>
    <row r="1053" spans="1:23" ht="15.75" customHeight="1" x14ac:dyDescent="0.25">
      <c r="A1053" s="4"/>
      <c r="B1053" s="4"/>
      <c r="C1053" s="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</row>
    <row r="1054" spans="1:23" ht="15.75" customHeight="1" x14ac:dyDescent="0.25">
      <c r="A1054" s="4"/>
      <c r="B1054" s="4"/>
      <c r="C1054" s="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</row>
    <row r="1055" spans="1:23" ht="15.75" customHeight="1" x14ac:dyDescent="0.25">
      <c r="A1055" s="4"/>
      <c r="B1055" s="4"/>
      <c r="C1055" s="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</row>
    <row r="1056" spans="1:23" ht="15.75" customHeight="1" x14ac:dyDescent="0.25">
      <c r="A1056" s="4"/>
      <c r="B1056" s="4"/>
      <c r="C1056" s="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</row>
    <row r="1057" spans="1:23" ht="15.75" customHeight="1" x14ac:dyDescent="0.25">
      <c r="A1057" s="4"/>
      <c r="B1057" s="4"/>
      <c r="C1057" s="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</row>
    <row r="1058" spans="1:23" ht="15.75" customHeight="1" x14ac:dyDescent="0.25">
      <c r="A1058" s="4"/>
      <c r="B1058" s="4"/>
      <c r="C1058" s="4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</row>
    <row r="1059" spans="1:23" ht="15.75" customHeight="1" x14ac:dyDescent="0.25">
      <c r="A1059" s="4"/>
      <c r="B1059" s="4"/>
      <c r="C1059" s="4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</row>
    <row r="1060" spans="1:23" ht="15.75" customHeight="1" x14ac:dyDescent="0.25">
      <c r="A1060" s="4"/>
      <c r="B1060" s="4"/>
      <c r="C1060" s="4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</row>
    <row r="1061" spans="1:23" ht="15.75" customHeight="1" x14ac:dyDescent="0.25">
      <c r="A1061" s="4"/>
      <c r="B1061" s="4"/>
      <c r="C1061" s="4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</row>
    <row r="1062" spans="1:23" ht="15.75" customHeight="1" x14ac:dyDescent="0.25">
      <c r="A1062" s="4"/>
      <c r="B1062" s="4"/>
      <c r="C1062" s="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</row>
    <row r="1063" spans="1:23" ht="15.75" customHeight="1" x14ac:dyDescent="0.25">
      <c r="A1063" s="4"/>
      <c r="B1063" s="4"/>
      <c r="C1063" s="4"/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</row>
    <row r="1064" spans="1:23" ht="15.75" customHeight="1" x14ac:dyDescent="0.25">
      <c r="A1064" s="4"/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</row>
    <row r="1065" spans="1:23" ht="15.75" customHeight="1" x14ac:dyDescent="0.25">
      <c r="A1065" s="4"/>
      <c r="B1065" s="4"/>
      <c r="C1065" s="4"/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</row>
    <row r="1066" spans="1:23" ht="15.75" customHeight="1" x14ac:dyDescent="0.25">
      <c r="A1066" s="4"/>
      <c r="B1066" s="4"/>
      <c r="C1066" s="4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</row>
    <row r="1067" spans="1:23" ht="15.75" customHeight="1" x14ac:dyDescent="0.25">
      <c r="A1067" s="4"/>
      <c r="B1067" s="4"/>
      <c r="C1067" s="4"/>
      <c r="D1067" s="4"/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</row>
    <row r="1068" spans="1:23" ht="15.75" customHeight="1" x14ac:dyDescent="0.25">
      <c r="A1068" s="4"/>
      <c r="B1068" s="4"/>
      <c r="C1068" s="4"/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</row>
    <row r="1069" spans="1:23" ht="15.75" customHeight="1" x14ac:dyDescent="0.25">
      <c r="A1069" s="4"/>
      <c r="B1069" s="4"/>
      <c r="C1069" s="4"/>
      <c r="D1069" s="4"/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</row>
    <row r="1070" spans="1:23" ht="15.75" customHeight="1" x14ac:dyDescent="0.25">
      <c r="A1070" s="4"/>
      <c r="B1070" s="4"/>
      <c r="C1070" s="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</row>
    <row r="1071" spans="1:23" ht="15.75" customHeight="1" x14ac:dyDescent="0.25">
      <c r="A1071" s="4"/>
      <c r="B1071" s="4"/>
      <c r="C1071" s="4"/>
      <c r="D1071" s="4"/>
      <c r="E1071" s="4"/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</row>
    <row r="1072" spans="1:23" ht="15.75" customHeight="1" x14ac:dyDescent="0.25">
      <c r="A1072" s="4"/>
      <c r="B1072" s="4"/>
      <c r="C1072" s="4"/>
      <c r="D1072" s="4"/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</row>
    <row r="1073" spans="1:23" ht="15.75" customHeight="1" x14ac:dyDescent="0.25">
      <c r="A1073" s="4"/>
      <c r="B1073" s="4"/>
      <c r="C1073" s="4"/>
      <c r="D1073" s="4"/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</row>
    <row r="1074" spans="1:23" ht="15.75" customHeight="1" x14ac:dyDescent="0.25">
      <c r="A1074" s="4"/>
      <c r="B1074" s="4"/>
      <c r="C1074" s="4"/>
      <c r="D1074" s="4"/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</row>
    <row r="1075" spans="1:23" ht="15.75" customHeight="1" x14ac:dyDescent="0.25">
      <c r="A1075" s="4"/>
      <c r="B1075" s="4"/>
      <c r="C1075" s="4"/>
      <c r="D1075" s="4"/>
      <c r="E1075" s="4"/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</row>
    <row r="1076" spans="1:23" ht="15.75" customHeight="1" x14ac:dyDescent="0.25">
      <c r="A1076" s="4"/>
      <c r="B1076" s="4"/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</row>
    <row r="1077" spans="1:23" ht="15.75" customHeight="1" x14ac:dyDescent="0.25">
      <c r="A1077" s="4"/>
      <c r="B1077" s="4"/>
      <c r="C1077" s="4"/>
      <c r="D1077" s="4"/>
      <c r="E1077" s="4"/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</row>
    <row r="1078" spans="1:23" ht="15.75" customHeight="1" x14ac:dyDescent="0.25">
      <c r="A1078" s="4"/>
      <c r="B1078" s="4"/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</row>
    <row r="1079" spans="1:23" ht="15.75" customHeight="1" x14ac:dyDescent="0.25">
      <c r="A1079" s="4"/>
      <c r="B1079" s="4"/>
      <c r="C1079" s="4"/>
      <c r="D1079" s="4"/>
      <c r="E1079" s="4"/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</row>
    <row r="1080" spans="1:23" ht="15.75" customHeight="1" x14ac:dyDescent="0.25">
      <c r="A1080" s="4"/>
      <c r="B1080" s="4"/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</row>
    <row r="1081" spans="1:23" ht="15.75" customHeight="1" x14ac:dyDescent="0.25">
      <c r="A1081" s="4"/>
      <c r="B1081" s="4"/>
      <c r="C1081" s="4"/>
      <c r="D1081" s="4"/>
      <c r="E1081" s="4"/>
      <c r="F1081" s="4"/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</row>
    <row r="1082" spans="1:23" ht="15.75" customHeight="1" x14ac:dyDescent="0.25">
      <c r="A1082" s="4"/>
      <c r="B1082" s="4"/>
      <c r="C1082" s="4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</row>
    <row r="1083" spans="1:23" ht="15.75" customHeight="1" x14ac:dyDescent="0.25">
      <c r="A1083" s="4"/>
      <c r="B1083" s="4"/>
      <c r="C1083" s="4"/>
      <c r="D1083" s="4"/>
      <c r="E1083" s="4"/>
      <c r="F1083" s="4"/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</row>
    <row r="1084" spans="1:23" ht="15.75" customHeight="1" x14ac:dyDescent="0.25">
      <c r="A1084" s="4"/>
      <c r="B1084" s="4"/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</row>
    <row r="1085" spans="1:23" ht="15.75" customHeight="1" x14ac:dyDescent="0.25">
      <c r="A1085" s="4"/>
      <c r="B1085" s="4"/>
      <c r="C1085" s="4"/>
      <c r="D1085" s="4"/>
      <c r="E1085" s="4"/>
      <c r="F1085" s="4"/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</row>
    <row r="1086" spans="1:23" ht="15.75" customHeight="1" x14ac:dyDescent="0.25">
      <c r="A1086" s="4"/>
      <c r="B1086" s="4"/>
      <c r="C1086" s="4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</row>
    <row r="1087" spans="1:23" ht="15.75" customHeight="1" x14ac:dyDescent="0.25">
      <c r="A1087" s="4"/>
      <c r="B1087" s="4"/>
      <c r="C1087" s="4"/>
      <c r="D1087" s="4"/>
      <c r="E1087" s="4"/>
      <c r="F1087" s="4"/>
      <c r="G1087" s="4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</row>
    <row r="1088" spans="1:23" ht="15.75" customHeight="1" x14ac:dyDescent="0.25">
      <c r="A1088" s="4"/>
      <c r="B1088" s="4"/>
      <c r="C1088" s="4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</row>
    <row r="1089" spans="1:23" ht="15.75" customHeight="1" x14ac:dyDescent="0.25">
      <c r="A1089" s="4"/>
      <c r="B1089" s="4"/>
      <c r="C1089" s="4"/>
      <c r="D1089" s="4"/>
      <c r="E1089" s="4"/>
      <c r="F1089" s="4"/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</row>
    <row r="1090" spans="1:23" ht="15.75" customHeight="1" x14ac:dyDescent="0.25">
      <c r="A1090" s="4"/>
      <c r="B1090" s="4"/>
      <c r="C1090" s="4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</row>
    <row r="1091" spans="1:23" ht="15.75" customHeight="1" x14ac:dyDescent="0.25">
      <c r="A1091" s="4"/>
      <c r="B1091" s="4"/>
      <c r="C1091" s="4"/>
      <c r="D1091" s="4"/>
      <c r="E1091" s="4"/>
      <c r="F1091" s="4"/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</row>
    <row r="1092" spans="1:23" ht="15.75" customHeight="1" x14ac:dyDescent="0.25">
      <c r="A1092" s="4"/>
      <c r="B1092" s="4"/>
      <c r="C1092" s="4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</row>
    <row r="1093" spans="1:23" ht="15.75" customHeight="1" x14ac:dyDescent="0.25">
      <c r="A1093" s="4"/>
      <c r="B1093" s="4"/>
      <c r="C1093" s="4"/>
      <c r="D1093" s="4"/>
      <c r="E1093" s="4"/>
      <c r="F1093" s="4"/>
      <c r="G1093" s="4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</row>
    <row r="1094" spans="1:23" ht="15.75" customHeight="1" x14ac:dyDescent="0.25">
      <c r="A1094" s="4"/>
      <c r="B1094" s="4"/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</row>
    <row r="1095" spans="1:23" ht="15.75" customHeight="1" x14ac:dyDescent="0.25">
      <c r="A1095" s="4"/>
      <c r="B1095" s="4"/>
      <c r="C1095" s="4"/>
      <c r="D1095" s="4"/>
      <c r="E1095" s="4"/>
      <c r="F1095" s="4"/>
      <c r="G1095" s="4"/>
      <c r="H1095" s="4"/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</row>
    <row r="1096" spans="1:23" ht="15.75" customHeight="1" x14ac:dyDescent="0.25">
      <c r="A1096" s="4"/>
      <c r="B1096" s="4"/>
      <c r="C1096" s="4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</row>
    <row r="1097" spans="1:23" ht="15.75" customHeight="1" x14ac:dyDescent="0.25">
      <c r="A1097" s="4"/>
      <c r="B1097" s="4"/>
      <c r="C1097" s="4"/>
      <c r="D1097" s="4"/>
      <c r="E1097" s="4"/>
      <c r="F1097" s="4"/>
      <c r="G1097" s="4"/>
      <c r="H1097" s="4"/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</row>
    <row r="1098" spans="1:23" ht="15.75" customHeight="1" x14ac:dyDescent="0.25">
      <c r="A1098" s="4"/>
      <c r="B1098" s="4"/>
      <c r="C1098" s="4"/>
      <c r="D1098" s="4"/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</row>
    <row r="1099" spans="1:23" ht="15.75" customHeight="1" x14ac:dyDescent="0.25">
      <c r="A1099" s="4"/>
      <c r="B1099" s="4"/>
      <c r="C1099" s="4"/>
      <c r="D1099" s="4"/>
      <c r="E1099" s="4"/>
      <c r="F1099" s="4"/>
      <c r="G1099" s="4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</row>
    <row r="1100" spans="1:23" ht="15.75" customHeight="1" x14ac:dyDescent="0.25">
      <c r="A1100" s="4"/>
      <c r="B1100" s="4"/>
      <c r="C1100" s="4"/>
      <c r="D1100" s="4"/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</row>
    <row r="1101" spans="1:23" ht="15.75" customHeight="1" x14ac:dyDescent="0.25">
      <c r="A1101" s="4"/>
      <c r="B1101" s="4"/>
      <c r="C1101" s="4"/>
      <c r="D1101" s="4"/>
      <c r="E1101" s="4"/>
      <c r="F1101" s="4"/>
      <c r="G1101" s="4"/>
      <c r="H1101" s="4"/>
      <c r="I1101" s="4"/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</row>
    <row r="1102" spans="1:23" ht="15.75" customHeight="1" x14ac:dyDescent="0.25">
      <c r="A1102" s="4"/>
      <c r="B1102" s="4"/>
      <c r="C1102" s="4"/>
      <c r="D1102" s="4"/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</row>
    <row r="1103" spans="1:23" ht="15.75" customHeight="1" x14ac:dyDescent="0.25">
      <c r="A1103" s="4"/>
      <c r="B1103" s="4"/>
      <c r="C1103" s="4"/>
      <c r="D1103" s="4"/>
      <c r="E1103" s="4"/>
      <c r="F1103" s="4"/>
      <c r="G1103" s="4"/>
      <c r="H1103" s="4"/>
      <c r="I1103" s="4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</row>
    <row r="1104" spans="1:23" ht="15.75" customHeight="1" x14ac:dyDescent="0.25">
      <c r="A1104" s="4"/>
      <c r="B1104" s="4"/>
      <c r="C1104" s="4"/>
      <c r="D1104" s="4"/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</row>
    <row r="1105" spans="1:23" ht="15.75" customHeight="1" x14ac:dyDescent="0.25">
      <c r="A1105" s="4"/>
      <c r="B1105" s="4"/>
      <c r="C1105" s="4"/>
      <c r="D1105" s="4"/>
      <c r="E1105" s="4"/>
      <c r="F1105" s="4"/>
      <c r="G1105" s="4"/>
      <c r="H1105" s="4"/>
      <c r="I1105" s="4"/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</row>
    <row r="1106" spans="1:23" ht="15.75" customHeight="1" x14ac:dyDescent="0.25">
      <c r="A1106" s="4"/>
      <c r="B1106" s="4"/>
      <c r="C1106" s="4"/>
      <c r="D1106" s="4"/>
      <c r="E1106" s="4"/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</row>
    <row r="1107" spans="1:23" ht="15.75" customHeight="1" x14ac:dyDescent="0.25">
      <c r="A1107" s="4"/>
      <c r="B1107" s="4"/>
      <c r="C1107" s="4"/>
      <c r="D1107" s="4"/>
      <c r="E1107" s="4"/>
      <c r="F1107" s="4"/>
      <c r="G1107" s="4"/>
      <c r="H1107" s="4"/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</row>
    <row r="1108" spans="1:23" ht="15.75" customHeight="1" x14ac:dyDescent="0.25">
      <c r="A1108" s="4"/>
      <c r="B1108" s="4"/>
      <c r="C1108" s="4"/>
      <c r="D1108" s="4"/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</row>
    <row r="1109" spans="1:23" ht="15.75" customHeight="1" x14ac:dyDescent="0.25">
      <c r="A1109" s="4"/>
      <c r="B1109" s="4"/>
      <c r="C1109" s="4"/>
      <c r="D1109" s="4"/>
      <c r="E1109" s="4"/>
      <c r="F1109" s="4"/>
      <c r="G1109" s="4"/>
      <c r="H1109" s="4"/>
      <c r="I1109" s="4"/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</row>
    <row r="1110" spans="1:23" ht="15.75" customHeight="1" x14ac:dyDescent="0.25">
      <c r="A1110" s="4"/>
      <c r="B1110" s="4"/>
      <c r="C1110" s="4"/>
      <c r="D1110" s="4"/>
      <c r="E1110" s="4"/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</row>
    <row r="1111" spans="1:23" ht="15.75" customHeight="1" x14ac:dyDescent="0.25">
      <c r="A1111" s="4"/>
      <c r="B1111" s="4"/>
      <c r="C1111" s="4"/>
      <c r="D1111" s="4"/>
      <c r="E1111" s="4"/>
      <c r="F1111" s="4"/>
      <c r="G1111" s="4"/>
      <c r="H1111" s="4"/>
      <c r="I1111" s="4"/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</row>
    <row r="1112" spans="1:23" ht="15.75" customHeight="1" x14ac:dyDescent="0.25">
      <c r="A1112" s="4"/>
      <c r="B1112" s="4"/>
      <c r="C1112" s="4"/>
      <c r="D1112" s="4"/>
      <c r="E1112" s="4"/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</row>
    <row r="1113" spans="1:23" ht="15.75" customHeight="1" x14ac:dyDescent="0.25">
      <c r="A1113" s="4"/>
      <c r="B1113" s="4"/>
      <c r="C1113" s="4"/>
      <c r="D1113" s="4"/>
      <c r="E1113" s="4"/>
      <c r="F1113" s="4"/>
      <c r="G1113" s="4"/>
      <c r="H1113" s="4"/>
      <c r="I1113" s="4"/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</row>
    <row r="1114" spans="1:23" ht="15.75" customHeight="1" x14ac:dyDescent="0.25">
      <c r="A1114" s="4"/>
      <c r="B1114" s="4"/>
      <c r="C1114" s="4"/>
      <c r="D1114" s="4"/>
      <c r="E1114" s="4"/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</row>
    <row r="1115" spans="1:23" ht="15.75" customHeight="1" x14ac:dyDescent="0.25">
      <c r="A1115" s="4"/>
      <c r="B1115" s="4"/>
      <c r="C1115" s="4"/>
      <c r="D1115" s="4"/>
      <c r="E1115" s="4"/>
      <c r="F1115" s="4"/>
      <c r="G1115" s="4"/>
      <c r="H1115" s="4"/>
      <c r="I1115" s="4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</row>
    <row r="1116" spans="1:23" ht="15.75" customHeight="1" x14ac:dyDescent="0.25">
      <c r="A1116" s="4"/>
      <c r="B1116" s="4"/>
      <c r="C1116" s="4"/>
      <c r="D1116" s="4"/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</row>
    <row r="1117" spans="1:23" ht="15.75" customHeight="1" x14ac:dyDescent="0.25">
      <c r="A1117" s="4"/>
      <c r="B1117" s="4"/>
      <c r="C1117" s="4"/>
      <c r="D1117" s="4"/>
      <c r="E1117" s="4"/>
      <c r="F1117" s="4"/>
      <c r="G1117" s="4"/>
      <c r="H1117" s="4"/>
      <c r="I1117" s="4"/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</row>
    <row r="1118" spans="1:23" ht="15.75" customHeight="1" x14ac:dyDescent="0.25">
      <c r="A1118" s="4"/>
      <c r="B1118" s="4"/>
      <c r="C1118" s="4"/>
      <c r="D1118" s="4"/>
      <c r="E1118" s="4"/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</row>
    <row r="1119" spans="1:23" ht="15.75" customHeight="1" x14ac:dyDescent="0.25">
      <c r="A1119" s="4"/>
      <c r="B1119" s="4"/>
      <c r="C1119" s="4"/>
      <c r="D1119" s="4"/>
      <c r="E1119" s="4"/>
      <c r="F1119" s="4"/>
      <c r="G1119" s="4"/>
      <c r="H1119" s="4"/>
      <c r="I1119" s="4"/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</row>
    <row r="1120" spans="1:23" ht="15.75" customHeight="1" x14ac:dyDescent="0.25">
      <c r="A1120" s="4"/>
      <c r="B1120" s="4"/>
      <c r="C1120" s="4"/>
      <c r="D1120" s="4"/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</row>
    <row r="1121" spans="1:23" ht="15.75" customHeight="1" x14ac:dyDescent="0.25">
      <c r="A1121" s="4"/>
      <c r="B1121" s="4"/>
      <c r="C1121" s="4"/>
      <c r="D1121" s="4"/>
      <c r="E1121" s="4"/>
      <c r="F1121" s="4"/>
      <c r="G1121" s="4"/>
      <c r="H1121" s="4"/>
      <c r="I1121" s="4"/>
      <c r="J1121" s="4"/>
      <c r="K1121" s="4"/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</row>
    <row r="1122" spans="1:23" ht="15.75" customHeight="1" x14ac:dyDescent="0.25">
      <c r="A1122" s="4"/>
      <c r="B1122" s="4"/>
      <c r="C1122" s="4"/>
      <c r="D1122" s="4"/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</row>
    <row r="1123" spans="1:23" ht="15.75" customHeight="1" x14ac:dyDescent="0.25">
      <c r="A1123" s="4"/>
      <c r="B1123" s="4"/>
      <c r="C1123" s="4"/>
      <c r="D1123" s="4"/>
      <c r="E1123" s="4"/>
      <c r="F1123" s="4"/>
      <c r="G1123" s="4"/>
      <c r="H1123" s="4"/>
      <c r="I1123" s="4"/>
      <c r="J1123" s="4"/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</row>
    <row r="1124" spans="1:23" ht="15.75" customHeight="1" x14ac:dyDescent="0.25">
      <c r="A1124" s="4"/>
      <c r="B1124" s="4"/>
      <c r="C1124" s="4"/>
      <c r="D1124" s="4"/>
      <c r="E1124" s="4"/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</row>
    <row r="1125" spans="1:23" ht="15.75" customHeight="1" x14ac:dyDescent="0.25">
      <c r="A1125" s="4"/>
      <c r="B1125" s="4"/>
      <c r="C1125" s="4"/>
      <c r="D1125" s="4"/>
      <c r="E1125" s="4"/>
      <c r="F1125" s="4"/>
      <c r="G1125" s="4"/>
      <c r="H1125" s="4"/>
      <c r="I1125" s="4"/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</row>
    <row r="1126" spans="1:23" ht="15.75" customHeight="1" x14ac:dyDescent="0.25">
      <c r="A1126" s="4"/>
      <c r="B1126" s="4"/>
      <c r="C1126" s="4"/>
      <c r="D1126" s="4"/>
      <c r="E1126" s="4"/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</row>
    <row r="1127" spans="1:23" ht="15.75" customHeight="1" x14ac:dyDescent="0.25">
      <c r="A1127" s="4"/>
      <c r="B1127" s="4"/>
      <c r="C1127" s="4"/>
      <c r="D1127" s="4"/>
      <c r="E1127" s="4"/>
      <c r="F1127" s="4"/>
      <c r="G1127" s="4"/>
      <c r="H1127" s="4"/>
      <c r="I1127" s="4"/>
      <c r="J1127" s="4"/>
      <c r="K1127" s="4"/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</row>
    <row r="1128" spans="1:23" ht="15.75" customHeight="1" x14ac:dyDescent="0.25">
      <c r="A1128" s="4"/>
      <c r="B1128" s="4"/>
      <c r="C1128" s="4"/>
      <c r="D1128" s="4"/>
      <c r="E1128" s="4"/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</row>
    <row r="1129" spans="1:23" ht="15.75" customHeight="1" x14ac:dyDescent="0.25">
      <c r="A1129" s="4"/>
      <c r="B1129" s="4"/>
      <c r="C1129" s="4"/>
      <c r="D1129" s="4"/>
      <c r="E1129" s="4"/>
      <c r="F1129" s="4"/>
      <c r="G1129" s="4"/>
      <c r="H1129" s="4"/>
      <c r="I1129" s="4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</row>
    <row r="1130" spans="1:23" ht="15.75" customHeight="1" x14ac:dyDescent="0.25">
      <c r="A1130" s="4"/>
      <c r="B1130" s="4"/>
      <c r="C1130" s="4"/>
      <c r="D1130" s="4"/>
      <c r="E1130" s="4"/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</row>
    <row r="1131" spans="1:23" ht="15.75" customHeight="1" x14ac:dyDescent="0.25">
      <c r="A1131" s="4"/>
      <c r="B1131" s="4"/>
      <c r="C1131" s="4"/>
      <c r="D1131" s="4"/>
      <c r="E1131" s="4"/>
      <c r="F1131" s="4"/>
      <c r="G1131" s="4"/>
      <c r="H1131" s="4"/>
      <c r="I1131" s="4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</row>
    <row r="1132" spans="1:23" ht="15.75" customHeight="1" x14ac:dyDescent="0.25">
      <c r="A1132" s="4"/>
      <c r="B1132" s="4"/>
      <c r="C1132" s="4"/>
      <c r="D1132" s="4"/>
      <c r="E1132" s="4"/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</row>
    <row r="1133" spans="1:23" ht="15.75" customHeight="1" x14ac:dyDescent="0.25">
      <c r="A1133" s="4"/>
      <c r="B1133" s="4"/>
      <c r="C1133" s="4"/>
      <c r="D1133" s="4"/>
      <c r="E1133" s="4"/>
      <c r="F1133" s="4"/>
      <c r="G1133" s="4"/>
      <c r="H1133" s="4"/>
      <c r="I1133" s="4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</row>
    <row r="1134" spans="1:23" ht="15.75" customHeight="1" x14ac:dyDescent="0.25">
      <c r="A1134" s="4"/>
      <c r="B1134" s="4"/>
      <c r="C1134" s="4"/>
      <c r="D1134" s="4"/>
      <c r="E1134" s="4"/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</row>
    <row r="1135" spans="1:23" ht="15.75" customHeight="1" x14ac:dyDescent="0.25">
      <c r="A1135" s="4"/>
      <c r="B1135" s="4"/>
      <c r="C1135" s="4"/>
      <c r="D1135" s="4"/>
      <c r="E1135" s="4"/>
      <c r="F1135" s="4"/>
      <c r="G1135" s="4"/>
      <c r="H1135" s="4"/>
      <c r="I1135" s="4"/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</row>
    <row r="1136" spans="1:23" ht="15.75" customHeight="1" x14ac:dyDescent="0.25">
      <c r="A1136" s="4"/>
      <c r="B1136" s="4"/>
      <c r="C1136" s="4"/>
      <c r="D1136" s="4"/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</row>
    <row r="1137" spans="1:23" ht="15.75" customHeight="1" x14ac:dyDescent="0.25">
      <c r="A1137" s="4"/>
      <c r="B1137" s="4"/>
      <c r="C1137" s="4"/>
      <c r="D1137" s="4"/>
      <c r="E1137" s="4"/>
      <c r="F1137" s="4"/>
      <c r="G1137" s="4"/>
      <c r="H1137" s="4"/>
      <c r="I1137" s="4"/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</row>
    <row r="1138" spans="1:23" ht="15.75" customHeight="1" x14ac:dyDescent="0.25">
      <c r="A1138" s="4"/>
      <c r="B1138" s="4"/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</row>
    <row r="1139" spans="1:23" ht="15.75" customHeight="1" x14ac:dyDescent="0.25">
      <c r="A1139" s="4"/>
      <c r="B1139" s="4"/>
      <c r="C1139" s="4"/>
      <c r="D1139" s="4"/>
      <c r="E1139" s="4"/>
      <c r="F1139" s="4"/>
      <c r="G1139" s="4"/>
      <c r="H1139" s="4"/>
      <c r="I1139" s="4"/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</row>
  </sheetData>
  <mergeCells count="10">
    <mergeCell ref="AU2:AV2"/>
    <mergeCell ref="A1:Y1"/>
    <mergeCell ref="AB1:AV1"/>
    <mergeCell ref="G2:L2"/>
    <mergeCell ref="N2:S2"/>
    <mergeCell ref="U2:V2"/>
    <mergeCell ref="X2:Y2"/>
    <mergeCell ref="AD2:AI2"/>
    <mergeCell ref="AK2:AP2"/>
    <mergeCell ref="AR2:AS2"/>
  </mergeCells>
  <pageMargins left="0.7" right="0.7" top="0.75" bottom="0.75" header="0" footer="0"/>
  <pageSetup orientation="landscape" r:id="rId1"/>
  <ignoredErrors>
    <ignoredError sqref="H3:W3 AB3 AC3:AN3 X3:AA3" twoDigitTextYea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ADVANCED</vt:lpstr>
      <vt:lpstr>SHOOTING</vt:lpstr>
      <vt:lpstr>SHOOTING OPPONENT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Ghislain Clement</dc:creator>
  <cp:lastModifiedBy>Ghislain Clement</cp:lastModifiedBy>
  <dcterms:created xsi:type="dcterms:W3CDTF">2025-02-21T07:49:38Z</dcterms:created>
  <dcterms:modified xsi:type="dcterms:W3CDTF">2026-09-09T08:00:56Z</dcterms:modified>
</cp:coreProperties>
</file>