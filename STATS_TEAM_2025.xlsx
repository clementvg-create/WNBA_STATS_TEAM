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/>
  <mc:AlternateContent xmlns:mc="http://schemas.openxmlformats.org/markup-compatibility/2006">
    <mc:Choice Requires="x15">
      <x15ac:absPath xmlns:x15ac="http://schemas.microsoft.com/office/spreadsheetml/2010/11/ac" url="D:\Swish Swish\WNBA_STATS_TEAM\"/>
    </mc:Choice>
  </mc:AlternateContent>
  <xr:revisionPtr revIDLastSave="0" documentId="13_ncr:1_{BDA56C24-FB91-4DBA-8236-56058701E0F4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ADVANCED" sheetId="3" r:id="rId1"/>
    <sheet name="SHOOTING" sheetId="4" r:id="rId2"/>
    <sheet name="SHOOTING OPPONENT" sheetId="5" r:id="rId3"/>
  </sheets>
  <definedNames>
    <definedName name="_xlnm._FilterDatabase" localSheetId="0" hidden="1">ADVANCED!$A$3:$Z$3</definedName>
    <definedName name="_xlnm._FilterDatabase" localSheetId="1" hidden="1">SHOOTING!$A$3:$W$3</definedName>
    <definedName name="_xlnm._FilterDatabase" localSheetId="2" hidden="1">'SHOOTING OPPONENT'!$A$3:$W$3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AV5" i="5" l="1"/>
  <c r="AV6" i="5"/>
  <c r="AV7" i="5"/>
  <c r="AV8" i="5"/>
  <c r="AV9" i="5"/>
  <c r="AV10" i="5"/>
  <c r="AV11" i="5"/>
  <c r="AV12" i="5"/>
  <c r="AV13" i="5"/>
  <c r="AV14" i="5"/>
  <c r="AV15" i="5"/>
  <c r="AV16" i="5"/>
  <c r="AV4" i="5"/>
  <c r="AU5" i="5"/>
  <c r="AU6" i="5"/>
  <c r="AU7" i="5"/>
  <c r="AU8" i="5"/>
  <c r="AU9" i="5"/>
  <c r="AU10" i="5"/>
  <c r="AU11" i="5"/>
  <c r="AU12" i="5"/>
  <c r="AU13" i="5"/>
  <c r="AU14" i="5"/>
  <c r="AU15" i="5"/>
  <c r="AU16" i="5"/>
  <c r="AU4" i="5"/>
  <c r="AS5" i="5"/>
  <c r="AS6" i="5"/>
  <c r="AS7" i="5"/>
  <c r="AS8" i="5"/>
  <c r="AS9" i="5"/>
  <c r="AS10" i="5"/>
  <c r="AS11" i="5"/>
  <c r="AS12" i="5"/>
  <c r="AS13" i="5"/>
  <c r="AS14" i="5"/>
  <c r="AS15" i="5"/>
  <c r="AS16" i="5"/>
  <c r="AS4" i="5"/>
  <c r="AR5" i="5"/>
  <c r="AR6" i="5"/>
  <c r="AR7" i="5"/>
  <c r="AR8" i="5"/>
  <c r="AR9" i="5"/>
  <c r="AR10" i="5"/>
  <c r="AR11" i="5"/>
  <c r="AR12" i="5"/>
  <c r="AR13" i="5"/>
  <c r="AR14" i="5"/>
  <c r="AR15" i="5"/>
  <c r="AR16" i="5"/>
  <c r="AR4" i="5"/>
  <c r="AP5" i="5"/>
  <c r="AP6" i="5"/>
  <c r="AP7" i="5"/>
  <c r="AP8" i="5"/>
  <c r="AP9" i="5"/>
  <c r="AP10" i="5"/>
  <c r="AP11" i="5"/>
  <c r="AP12" i="5"/>
  <c r="AP13" i="5"/>
  <c r="AP14" i="5"/>
  <c r="AP15" i="5"/>
  <c r="AP16" i="5"/>
  <c r="AP4" i="5"/>
  <c r="AO5" i="5"/>
  <c r="AO6" i="5"/>
  <c r="AO7" i="5"/>
  <c r="AO8" i="5"/>
  <c r="AO9" i="5"/>
  <c r="AO10" i="5"/>
  <c r="AO11" i="5"/>
  <c r="AO12" i="5"/>
  <c r="AO13" i="5"/>
  <c r="AO14" i="5"/>
  <c r="AO15" i="5"/>
  <c r="AO16" i="5"/>
  <c r="AO4" i="5"/>
  <c r="AN5" i="5"/>
  <c r="AN6" i="5"/>
  <c r="AN7" i="5"/>
  <c r="AN8" i="5"/>
  <c r="AN9" i="5"/>
  <c r="AN10" i="5"/>
  <c r="AN11" i="5"/>
  <c r="AN12" i="5"/>
  <c r="AN13" i="5"/>
  <c r="AN14" i="5"/>
  <c r="AN15" i="5"/>
  <c r="AN16" i="5"/>
  <c r="AN4" i="5"/>
  <c r="AM5" i="5"/>
  <c r="AM6" i="5"/>
  <c r="AM7" i="5"/>
  <c r="AM8" i="5"/>
  <c r="AM9" i="5"/>
  <c r="AM10" i="5"/>
  <c r="AM11" i="5"/>
  <c r="AM12" i="5"/>
  <c r="AM13" i="5"/>
  <c r="AM14" i="5"/>
  <c r="AM15" i="5"/>
  <c r="AM16" i="5"/>
  <c r="AM4" i="5"/>
  <c r="AL5" i="5"/>
  <c r="AL6" i="5"/>
  <c r="AL7" i="5"/>
  <c r="AL8" i="5"/>
  <c r="AL9" i="5"/>
  <c r="AL10" i="5"/>
  <c r="AL11" i="5"/>
  <c r="AL12" i="5"/>
  <c r="AL13" i="5"/>
  <c r="AL14" i="5"/>
  <c r="AL15" i="5"/>
  <c r="AL16" i="5"/>
  <c r="AL4" i="5"/>
  <c r="AK5" i="5"/>
  <c r="AK6" i="5"/>
  <c r="AK7" i="5"/>
  <c r="AK8" i="5"/>
  <c r="AK9" i="5"/>
  <c r="AK10" i="5"/>
  <c r="AK11" i="5"/>
  <c r="AK12" i="5"/>
  <c r="AK13" i="5"/>
  <c r="AK14" i="5"/>
  <c r="AK15" i="5"/>
  <c r="AK16" i="5"/>
  <c r="AK4" i="5"/>
  <c r="AI5" i="5"/>
  <c r="AI6" i="5"/>
  <c r="AI7" i="5"/>
  <c r="AI8" i="5"/>
  <c r="AI9" i="5"/>
  <c r="AI10" i="5"/>
  <c r="AI11" i="5"/>
  <c r="AI12" i="5"/>
  <c r="AI13" i="5"/>
  <c r="AI14" i="5"/>
  <c r="AI15" i="5"/>
  <c r="AI16" i="5"/>
  <c r="AI4" i="5"/>
  <c r="AH5" i="5"/>
  <c r="AH6" i="5"/>
  <c r="AH7" i="5"/>
  <c r="AH8" i="5"/>
  <c r="AH9" i="5"/>
  <c r="AH10" i="5"/>
  <c r="AH11" i="5"/>
  <c r="AH12" i="5"/>
  <c r="AH13" i="5"/>
  <c r="AH14" i="5"/>
  <c r="AH15" i="5"/>
  <c r="AH16" i="5"/>
  <c r="AH4" i="5"/>
  <c r="AG5" i="5"/>
  <c r="AG6" i="5"/>
  <c r="AG7" i="5"/>
  <c r="AG8" i="5"/>
  <c r="AG9" i="5"/>
  <c r="AG10" i="5"/>
  <c r="AG11" i="5"/>
  <c r="AG12" i="5"/>
  <c r="AG13" i="5"/>
  <c r="AG14" i="5"/>
  <c r="AG15" i="5"/>
  <c r="AG16" i="5"/>
  <c r="AG4" i="5"/>
  <c r="AF5" i="5"/>
  <c r="AF6" i="5"/>
  <c r="AF7" i="5"/>
  <c r="AF8" i="5"/>
  <c r="AF9" i="5"/>
  <c r="AF10" i="5"/>
  <c r="AF11" i="5"/>
  <c r="AF12" i="5"/>
  <c r="AF13" i="5"/>
  <c r="AF14" i="5"/>
  <c r="AF15" i="5"/>
  <c r="AF16" i="5"/>
  <c r="AF4" i="5"/>
  <c r="AE5" i="5"/>
  <c r="AE6" i="5"/>
  <c r="AE7" i="5"/>
  <c r="AE8" i="5"/>
  <c r="AE9" i="5"/>
  <c r="AE10" i="5"/>
  <c r="AE11" i="5"/>
  <c r="AE12" i="5"/>
  <c r="AE13" i="5"/>
  <c r="AE14" i="5"/>
  <c r="AE15" i="5"/>
  <c r="AE16" i="5"/>
  <c r="AE4" i="5"/>
  <c r="AD5" i="5"/>
  <c r="AD6" i="5"/>
  <c r="AD7" i="5"/>
  <c r="AD8" i="5"/>
  <c r="AD9" i="5"/>
  <c r="AD10" i="5"/>
  <c r="AD11" i="5"/>
  <c r="AD12" i="5"/>
  <c r="AD13" i="5"/>
  <c r="AD14" i="5"/>
  <c r="AD15" i="5"/>
  <c r="AD16" i="5"/>
  <c r="AD4" i="5"/>
  <c r="AB5" i="5"/>
  <c r="AB6" i="5"/>
  <c r="AB7" i="5"/>
  <c r="AB8" i="5"/>
  <c r="AB9" i="5"/>
  <c r="AB10" i="5"/>
  <c r="AB11" i="5"/>
  <c r="AB12" i="5"/>
  <c r="AB13" i="5"/>
  <c r="AB14" i="5"/>
  <c r="AB15" i="5"/>
  <c r="AB16" i="5"/>
  <c r="AB4" i="5"/>
  <c r="BA5" i="3"/>
  <c r="BA6" i="3"/>
  <c r="BA7" i="3"/>
  <c r="BA8" i="3"/>
  <c r="BA9" i="3"/>
  <c r="BA10" i="3"/>
  <c r="BA11" i="3"/>
  <c r="BA12" i="3"/>
  <c r="BA13" i="3"/>
  <c r="BA14" i="3"/>
  <c r="BA15" i="3"/>
  <c r="BA16" i="3"/>
  <c r="BA4" i="3"/>
  <c r="AX5" i="3"/>
  <c r="AX6" i="3"/>
  <c r="AX7" i="3"/>
  <c r="AX8" i="3"/>
  <c r="AX9" i="3"/>
  <c r="AX10" i="3"/>
  <c r="AX11" i="3"/>
  <c r="AX12" i="3"/>
  <c r="AX13" i="3"/>
  <c r="AX14" i="3"/>
  <c r="AX15" i="3"/>
  <c r="AX16" i="3"/>
  <c r="AX4" i="3"/>
  <c r="AT5" i="3"/>
  <c r="AT6" i="3"/>
  <c r="AT7" i="3"/>
  <c r="AT8" i="3"/>
  <c r="AT9" i="3"/>
  <c r="AT10" i="3"/>
  <c r="AT11" i="3"/>
  <c r="AT12" i="3"/>
  <c r="AT13" i="3"/>
  <c r="AT14" i="3"/>
  <c r="AT15" i="3"/>
  <c r="AT16" i="3"/>
  <c r="AT4" i="3"/>
  <c r="AL5" i="3"/>
  <c r="AL6" i="3"/>
  <c r="AL7" i="3"/>
  <c r="AL8" i="3"/>
  <c r="AL9" i="3"/>
  <c r="AL10" i="3"/>
  <c r="AL11" i="3"/>
  <c r="AL12" i="3"/>
  <c r="AL13" i="3"/>
  <c r="AL14" i="3"/>
  <c r="AL15" i="3"/>
  <c r="AL16" i="3"/>
  <c r="AL4" i="3"/>
  <c r="AG5" i="3"/>
  <c r="AG6" i="3"/>
  <c r="AG7" i="3"/>
  <c r="AG8" i="3"/>
  <c r="AG9" i="3"/>
  <c r="AG10" i="3"/>
  <c r="AG11" i="3"/>
  <c r="AG12" i="3"/>
  <c r="AG13" i="3"/>
  <c r="AG14" i="3"/>
  <c r="AG15" i="3"/>
  <c r="AG16" i="3"/>
  <c r="AF5" i="3"/>
  <c r="AF6" i="3"/>
  <c r="AF7" i="3"/>
  <c r="AF8" i="3"/>
  <c r="AF9" i="3"/>
  <c r="AF10" i="3"/>
  <c r="AF11" i="3"/>
  <c r="AF12" i="3"/>
  <c r="AF13" i="3"/>
  <c r="AF14" i="3"/>
  <c r="AF15" i="3"/>
  <c r="AF16" i="3"/>
  <c r="AG4" i="3"/>
  <c r="AE5" i="3"/>
  <c r="AE6" i="3"/>
  <c r="AE7" i="3"/>
  <c r="AE8" i="3"/>
  <c r="AE9" i="3"/>
  <c r="AE10" i="3"/>
  <c r="AE11" i="3"/>
  <c r="AE12" i="3"/>
  <c r="AE13" i="3"/>
  <c r="AE14" i="3"/>
  <c r="AE15" i="3"/>
  <c r="AE16" i="3"/>
  <c r="AE4" i="3"/>
  <c r="Y24" i="5"/>
  <c r="X24" i="5"/>
  <c r="V24" i="5"/>
  <c r="U24" i="5"/>
  <c r="S24" i="5"/>
  <c r="R24" i="5"/>
  <c r="Q24" i="5"/>
  <c r="P24" i="5"/>
  <c r="O24" i="5"/>
  <c r="N24" i="5"/>
  <c r="L24" i="5"/>
  <c r="K24" i="5"/>
  <c r="J24" i="5"/>
  <c r="I24" i="5"/>
  <c r="H24" i="5"/>
  <c r="G24" i="5"/>
  <c r="E24" i="5"/>
  <c r="D24" i="5"/>
  <c r="C24" i="5"/>
  <c r="B24" i="5"/>
  <c r="C24" i="4"/>
  <c r="D24" i="4"/>
  <c r="E24" i="4"/>
  <c r="G24" i="4"/>
  <c r="H24" i="4"/>
  <c r="I24" i="4"/>
  <c r="J24" i="4"/>
  <c r="K24" i="4"/>
  <c r="L24" i="4"/>
  <c r="N24" i="4"/>
  <c r="O24" i="4"/>
  <c r="P24" i="4"/>
  <c r="Q24" i="4"/>
  <c r="R24" i="4"/>
  <c r="S24" i="4"/>
  <c r="U24" i="4"/>
  <c r="V24" i="4"/>
  <c r="X24" i="4"/>
  <c r="Y24" i="4"/>
  <c r="B24" i="4"/>
  <c r="C24" i="3"/>
  <c r="D24" i="3"/>
  <c r="E24" i="3"/>
  <c r="F24" i="3"/>
  <c r="G24" i="3"/>
  <c r="H24" i="3"/>
  <c r="I24" i="3"/>
  <c r="J24" i="3"/>
  <c r="K24" i="3"/>
  <c r="L24" i="3"/>
  <c r="M24" i="3"/>
  <c r="N24" i="3"/>
  <c r="O24" i="3"/>
  <c r="P24" i="3"/>
  <c r="R24" i="3"/>
  <c r="S24" i="3"/>
  <c r="T24" i="3"/>
  <c r="U24" i="3"/>
  <c r="W24" i="3"/>
  <c r="X24" i="3"/>
  <c r="Y24" i="3"/>
  <c r="Z24" i="3"/>
  <c r="B24" i="3"/>
  <c r="AV5" i="4"/>
  <c r="AV6" i="4"/>
  <c r="AV7" i="4"/>
  <c r="AV8" i="4"/>
  <c r="AV9" i="4"/>
  <c r="AV10" i="4"/>
  <c r="AV11" i="4"/>
  <c r="AV12" i="4"/>
  <c r="AV13" i="4"/>
  <c r="AV14" i="4"/>
  <c r="AV15" i="4"/>
  <c r="AV16" i="4"/>
  <c r="AU5" i="4"/>
  <c r="AU6" i="4"/>
  <c r="AU7" i="4"/>
  <c r="AU8" i="4"/>
  <c r="AU9" i="4"/>
  <c r="AU10" i="4"/>
  <c r="AU11" i="4"/>
  <c r="AU12" i="4"/>
  <c r="AU13" i="4"/>
  <c r="AU14" i="4"/>
  <c r="AU15" i="4"/>
  <c r="AU16" i="4"/>
  <c r="AS5" i="4"/>
  <c r="AS6" i="4"/>
  <c r="AS7" i="4"/>
  <c r="AS8" i="4"/>
  <c r="AS9" i="4"/>
  <c r="AS10" i="4"/>
  <c r="AS11" i="4"/>
  <c r="AS12" i="4"/>
  <c r="AS13" i="4"/>
  <c r="AS14" i="4"/>
  <c r="AS15" i="4"/>
  <c r="AS16" i="4"/>
  <c r="AR5" i="4"/>
  <c r="AR6" i="4"/>
  <c r="AR7" i="4"/>
  <c r="AR8" i="4"/>
  <c r="AR9" i="4"/>
  <c r="AR10" i="4"/>
  <c r="AR11" i="4"/>
  <c r="AR12" i="4"/>
  <c r="AR13" i="4"/>
  <c r="AR14" i="4"/>
  <c r="AR15" i="4"/>
  <c r="AR16" i="4"/>
  <c r="AP5" i="4"/>
  <c r="AP6" i="4"/>
  <c r="AP7" i="4"/>
  <c r="AP8" i="4"/>
  <c r="AP9" i="4"/>
  <c r="AP10" i="4"/>
  <c r="AP11" i="4"/>
  <c r="AP12" i="4"/>
  <c r="AP13" i="4"/>
  <c r="AP14" i="4"/>
  <c r="AP15" i="4"/>
  <c r="AP16" i="4"/>
  <c r="AO5" i="4"/>
  <c r="AO6" i="4"/>
  <c r="AO7" i="4"/>
  <c r="AO8" i="4"/>
  <c r="AO9" i="4"/>
  <c r="AO10" i="4"/>
  <c r="AO11" i="4"/>
  <c r="AO12" i="4"/>
  <c r="AO13" i="4"/>
  <c r="AO14" i="4"/>
  <c r="AO15" i="4"/>
  <c r="AO16" i="4"/>
  <c r="AN5" i="4"/>
  <c r="AN6" i="4"/>
  <c r="AN7" i="4"/>
  <c r="AN8" i="4"/>
  <c r="AN9" i="4"/>
  <c r="AN10" i="4"/>
  <c r="AN11" i="4"/>
  <c r="AN12" i="4"/>
  <c r="AN13" i="4"/>
  <c r="AN14" i="4"/>
  <c r="AN15" i="4"/>
  <c r="AN16" i="4"/>
  <c r="AM5" i="4"/>
  <c r="AM6" i="4"/>
  <c r="AM7" i="4"/>
  <c r="AM8" i="4"/>
  <c r="AM9" i="4"/>
  <c r="AM10" i="4"/>
  <c r="AM11" i="4"/>
  <c r="AM12" i="4"/>
  <c r="AM13" i="4"/>
  <c r="AM14" i="4"/>
  <c r="AM15" i="4"/>
  <c r="AM16" i="4"/>
  <c r="AL5" i="4"/>
  <c r="AL6" i="4"/>
  <c r="AL7" i="4"/>
  <c r="AL8" i="4"/>
  <c r="AL9" i="4"/>
  <c r="AL10" i="4"/>
  <c r="AL11" i="4"/>
  <c r="AL12" i="4"/>
  <c r="AL13" i="4"/>
  <c r="AL14" i="4"/>
  <c r="AL15" i="4"/>
  <c r="AL16" i="4"/>
  <c r="AK5" i="4"/>
  <c r="AK6" i="4"/>
  <c r="AK7" i="4"/>
  <c r="AK8" i="4"/>
  <c r="AK9" i="4"/>
  <c r="AK10" i="4"/>
  <c r="AK11" i="4"/>
  <c r="AK12" i="4"/>
  <c r="AK13" i="4"/>
  <c r="AK14" i="4"/>
  <c r="AK15" i="4"/>
  <c r="AK16" i="4"/>
  <c r="AI5" i="4"/>
  <c r="AI6" i="4"/>
  <c r="AI7" i="4"/>
  <c r="AI8" i="4"/>
  <c r="AI9" i="4"/>
  <c r="AI10" i="4"/>
  <c r="AI11" i="4"/>
  <c r="AI12" i="4"/>
  <c r="AI13" i="4"/>
  <c r="AI14" i="4"/>
  <c r="AI15" i="4"/>
  <c r="AI16" i="4"/>
  <c r="AH5" i="4"/>
  <c r="AH6" i="4"/>
  <c r="AH7" i="4"/>
  <c r="AH8" i="4"/>
  <c r="AH9" i="4"/>
  <c r="AH10" i="4"/>
  <c r="AH11" i="4"/>
  <c r="AH12" i="4"/>
  <c r="AH13" i="4"/>
  <c r="AH14" i="4"/>
  <c r="AH15" i="4"/>
  <c r="AH16" i="4"/>
  <c r="AG5" i="4"/>
  <c r="AG6" i="4"/>
  <c r="AG7" i="4"/>
  <c r="AG8" i="4"/>
  <c r="AG9" i="4"/>
  <c r="AG10" i="4"/>
  <c r="AG11" i="4"/>
  <c r="AG12" i="4"/>
  <c r="AG13" i="4"/>
  <c r="AG14" i="4"/>
  <c r="AG15" i="4"/>
  <c r="AG16" i="4"/>
  <c r="AF5" i="4"/>
  <c r="AF6" i="4"/>
  <c r="AF7" i="4"/>
  <c r="AF8" i="4"/>
  <c r="AF9" i="4"/>
  <c r="AF10" i="4"/>
  <c r="AF11" i="4"/>
  <c r="AF12" i="4"/>
  <c r="AF13" i="4"/>
  <c r="AF14" i="4"/>
  <c r="AF15" i="4"/>
  <c r="AF16" i="4"/>
  <c r="AE5" i="4"/>
  <c r="AE6" i="4"/>
  <c r="AE7" i="4"/>
  <c r="AE8" i="4"/>
  <c r="AE9" i="4"/>
  <c r="AE10" i="4"/>
  <c r="AE11" i="4"/>
  <c r="AE12" i="4"/>
  <c r="AE13" i="4"/>
  <c r="AE14" i="4"/>
  <c r="AE15" i="4"/>
  <c r="AE16" i="4"/>
  <c r="AD5" i="4"/>
  <c r="AD6" i="4"/>
  <c r="AD7" i="4"/>
  <c r="AD8" i="4"/>
  <c r="AD9" i="4"/>
  <c r="AD10" i="4"/>
  <c r="AD11" i="4"/>
  <c r="AD12" i="4"/>
  <c r="AD13" i="4"/>
  <c r="AD14" i="4"/>
  <c r="AD15" i="4"/>
  <c r="AD16" i="4"/>
  <c r="AB5" i="4"/>
  <c r="AB6" i="4"/>
  <c r="AB7" i="4"/>
  <c r="AB8" i="4"/>
  <c r="AB9" i="4"/>
  <c r="AB10" i="4"/>
  <c r="AB11" i="4"/>
  <c r="AB12" i="4"/>
  <c r="AB13" i="4"/>
  <c r="AB14" i="4"/>
  <c r="AB15" i="4"/>
  <c r="AB16" i="4"/>
  <c r="AB4" i="4"/>
  <c r="AD4" i="4"/>
  <c r="AE4" i="4"/>
  <c r="AF4" i="4"/>
  <c r="AG4" i="4"/>
  <c r="AH4" i="4"/>
  <c r="AI4" i="4"/>
  <c r="AK4" i="4"/>
  <c r="AL4" i="4"/>
  <c r="AM4" i="4"/>
  <c r="AN4" i="4"/>
  <c r="AO4" i="4"/>
  <c r="AP4" i="4"/>
  <c r="AR4" i="4"/>
  <c r="AS4" i="4"/>
  <c r="AU4" i="4"/>
  <c r="AV4" i="4"/>
  <c r="AZ5" i="3"/>
  <c r="AZ6" i="3"/>
  <c r="AZ7" i="3"/>
  <c r="AZ8" i="3"/>
  <c r="AZ9" i="3"/>
  <c r="AZ10" i="3"/>
  <c r="AZ11" i="3"/>
  <c r="AZ12" i="3"/>
  <c r="AZ13" i="3"/>
  <c r="AZ14" i="3"/>
  <c r="AZ15" i="3"/>
  <c r="AZ16" i="3"/>
  <c r="AY5" i="3"/>
  <c r="AY6" i="3"/>
  <c r="AY7" i="3"/>
  <c r="AY8" i="3"/>
  <c r="AY9" i="3"/>
  <c r="AY10" i="3"/>
  <c r="AY11" i="3"/>
  <c r="AY12" i="3"/>
  <c r="AY13" i="3"/>
  <c r="AY14" i="3"/>
  <c r="AY15" i="3"/>
  <c r="AY16" i="3"/>
  <c r="AV5" i="3"/>
  <c r="AV6" i="3"/>
  <c r="AV7" i="3"/>
  <c r="AV8" i="3"/>
  <c r="AV9" i="3"/>
  <c r="AV10" i="3"/>
  <c r="AV11" i="3"/>
  <c r="AV12" i="3"/>
  <c r="AV13" i="3"/>
  <c r="AV14" i="3"/>
  <c r="AV15" i="3"/>
  <c r="AV16" i="3"/>
  <c r="AU5" i="3"/>
  <c r="AU6" i="3"/>
  <c r="AU7" i="3"/>
  <c r="AU8" i="3"/>
  <c r="AU9" i="3"/>
  <c r="AU10" i="3"/>
  <c r="AU11" i="3"/>
  <c r="AU12" i="3"/>
  <c r="AU13" i="3"/>
  <c r="AU14" i="3"/>
  <c r="AU15" i="3"/>
  <c r="AU16" i="3"/>
  <c r="AS5" i="3"/>
  <c r="AS6" i="3"/>
  <c r="AS7" i="3"/>
  <c r="AS8" i="3"/>
  <c r="AS9" i="3"/>
  <c r="AS10" i="3"/>
  <c r="AS11" i="3"/>
  <c r="AS12" i="3"/>
  <c r="AS13" i="3"/>
  <c r="AS14" i="3"/>
  <c r="AS15" i="3"/>
  <c r="AS16" i="3"/>
  <c r="AQ5" i="3"/>
  <c r="AQ6" i="3"/>
  <c r="AQ7" i="3"/>
  <c r="AQ8" i="3"/>
  <c r="AQ9" i="3"/>
  <c r="AQ10" i="3"/>
  <c r="AQ11" i="3"/>
  <c r="AQ12" i="3"/>
  <c r="AQ13" i="3"/>
  <c r="AQ14" i="3"/>
  <c r="AQ15" i="3"/>
  <c r="AQ16" i="3"/>
  <c r="AP5" i="3"/>
  <c r="AP6" i="3"/>
  <c r="AP7" i="3"/>
  <c r="AP8" i="3"/>
  <c r="AP9" i="3"/>
  <c r="AP10" i="3"/>
  <c r="AP11" i="3"/>
  <c r="AP12" i="3"/>
  <c r="AP13" i="3"/>
  <c r="AP14" i="3"/>
  <c r="AP15" i="3"/>
  <c r="AP16" i="3"/>
  <c r="AO5" i="3"/>
  <c r="AO6" i="3"/>
  <c r="AO7" i="3"/>
  <c r="AO8" i="3"/>
  <c r="AO9" i="3"/>
  <c r="AO10" i="3"/>
  <c r="AO11" i="3"/>
  <c r="AO12" i="3"/>
  <c r="AO13" i="3"/>
  <c r="AO14" i="3"/>
  <c r="AO15" i="3"/>
  <c r="AO16" i="3"/>
  <c r="AN5" i="3"/>
  <c r="AN6" i="3"/>
  <c r="AN7" i="3"/>
  <c r="AN8" i="3"/>
  <c r="AN9" i="3"/>
  <c r="AN10" i="3"/>
  <c r="AN11" i="3"/>
  <c r="AN12" i="3"/>
  <c r="AN13" i="3"/>
  <c r="AN14" i="3"/>
  <c r="AN15" i="3"/>
  <c r="AN16" i="3"/>
  <c r="AM5" i="3"/>
  <c r="AM6" i="3"/>
  <c r="AM7" i="3"/>
  <c r="AM8" i="3"/>
  <c r="AM9" i="3"/>
  <c r="AM10" i="3"/>
  <c r="AM11" i="3"/>
  <c r="AM12" i="3"/>
  <c r="AM13" i="3"/>
  <c r="AM14" i="3"/>
  <c r="AM15" i="3"/>
  <c r="AM16" i="3"/>
  <c r="AK5" i="3"/>
  <c r="AK6" i="3"/>
  <c r="AK7" i="3"/>
  <c r="AK8" i="3"/>
  <c r="AK9" i="3"/>
  <c r="AK10" i="3"/>
  <c r="AK11" i="3"/>
  <c r="AK12" i="3"/>
  <c r="AK13" i="3"/>
  <c r="AK14" i="3"/>
  <c r="AK15" i="3"/>
  <c r="AK16" i="3"/>
  <c r="AJ5" i="3"/>
  <c r="AJ6" i="3"/>
  <c r="AJ7" i="3"/>
  <c r="AJ8" i="3"/>
  <c r="AJ9" i="3"/>
  <c r="AJ10" i="3"/>
  <c r="AJ11" i="3"/>
  <c r="AJ12" i="3"/>
  <c r="AJ13" i="3"/>
  <c r="AJ14" i="3"/>
  <c r="AJ15" i="3"/>
  <c r="AJ16" i="3"/>
  <c r="AI5" i="3"/>
  <c r="AI6" i="3"/>
  <c r="AI7" i="3"/>
  <c r="AI8" i="3"/>
  <c r="AI9" i="3"/>
  <c r="AI10" i="3"/>
  <c r="AI11" i="3"/>
  <c r="AI12" i="3"/>
  <c r="AI13" i="3"/>
  <c r="AI14" i="3"/>
  <c r="AI15" i="3"/>
  <c r="AI16" i="3"/>
  <c r="AH5" i="3"/>
  <c r="AH6" i="3"/>
  <c r="AH7" i="3"/>
  <c r="AH8" i="3"/>
  <c r="AH9" i="3"/>
  <c r="AH10" i="3"/>
  <c r="AH11" i="3"/>
  <c r="AH12" i="3"/>
  <c r="AH13" i="3"/>
  <c r="AH14" i="3"/>
  <c r="AH15" i="3"/>
  <c r="AH16" i="3"/>
  <c r="AD5" i="3"/>
  <c r="AD6" i="3"/>
  <c r="AD7" i="3"/>
  <c r="AD8" i="3"/>
  <c r="AD9" i="3"/>
  <c r="AD10" i="3"/>
  <c r="AD11" i="3"/>
  <c r="AD12" i="3"/>
  <c r="AD13" i="3"/>
  <c r="AD14" i="3"/>
  <c r="AD15" i="3"/>
  <c r="AD16" i="3"/>
  <c r="AD4" i="3"/>
  <c r="AF4" i="3"/>
  <c r="AH4" i="3"/>
  <c r="AI4" i="3"/>
  <c r="AJ4" i="3"/>
  <c r="AK4" i="3"/>
  <c r="AM4" i="3"/>
  <c r="AN4" i="3"/>
  <c r="AO4" i="3"/>
  <c r="AP4" i="3"/>
  <c r="AQ4" i="3"/>
  <c r="AS4" i="3"/>
  <c r="AU4" i="3"/>
  <c r="AV4" i="3"/>
  <c r="AY4" i="3"/>
  <c r="AZ4" i="3"/>
  <c r="AC5" i="3"/>
  <c r="AC6" i="3"/>
  <c r="AC7" i="3"/>
  <c r="AC8" i="3"/>
  <c r="AC9" i="3"/>
  <c r="AC10" i="3"/>
  <c r="AC11" i="3"/>
  <c r="AC12" i="3"/>
  <c r="AC13" i="3"/>
  <c r="AC14" i="3"/>
  <c r="AC15" i="3"/>
  <c r="AC16" i="3"/>
  <c r="AC4" i="3"/>
</calcChain>
</file>

<file path=xl/sharedStrings.xml><?xml version="1.0" encoding="utf-8"?>
<sst xmlns="http://schemas.openxmlformats.org/spreadsheetml/2006/main" count="191" uniqueCount="55">
  <si>
    <t>ADVANCED</t>
  </si>
  <si>
    <t>Team</t>
  </si>
  <si>
    <t>TS%</t>
  </si>
  <si>
    <t>eFG%</t>
  </si>
  <si>
    <t>3PAr</t>
  </si>
  <si>
    <t>FTr</t>
  </si>
  <si>
    <t>ORB%</t>
  </si>
  <si>
    <t>TOV%</t>
  </si>
  <si>
    <t>ORtg</t>
  </si>
  <si>
    <t>DRtg</t>
  </si>
  <si>
    <t>NRtg</t>
  </si>
  <si>
    <t>Age</t>
  </si>
  <si>
    <t>W</t>
  </si>
  <si>
    <t>L</t>
  </si>
  <si>
    <t>PW</t>
  </si>
  <si>
    <t>PL</t>
  </si>
  <si>
    <t>MOV</t>
  </si>
  <si>
    <t>SOS</t>
  </si>
  <si>
    <t>SRS</t>
  </si>
  <si>
    <t>Pace</t>
  </si>
  <si>
    <t>FT/FGA</t>
  </si>
  <si>
    <t>DRB%</t>
  </si>
  <si>
    <t>OFFENSE 4 FACTORS</t>
  </si>
  <si>
    <t>DEFENSE 4 FACTORS</t>
  </si>
  <si>
    <t>STATS</t>
  </si>
  <si>
    <t>G</t>
  </si>
  <si>
    <t>MP</t>
  </si>
  <si>
    <t>FG%</t>
  </si>
  <si>
    <t>Dist</t>
  </si>
  <si>
    <t>2P</t>
  </si>
  <si>
    <t>0-3</t>
  </si>
  <si>
    <t>3-10</t>
  </si>
  <si>
    <t>10-16</t>
  </si>
  <si>
    <t>16-3P</t>
  </si>
  <si>
    <t>3P</t>
  </si>
  <si>
    <t>%3PA</t>
  </si>
  <si>
    <t>3P%</t>
  </si>
  <si>
    <t>Frequency</t>
  </si>
  <si>
    <t>Efficiency</t>
  </si>
  <si>
    <t>% Ast'd</t>
  </si>
  <si>
    <t>Corner</t>
  </si>
  <si>
    <t>Moyenne</t>
  </si>
  <si>
    <t>Los Angeles Sparks</t>
  </si>
  <si>
    <t>Washington Mystics</t>
  </si>
  <si>
    <t>Dallas Wings</t>
  </si>
  <si>
    <t>Chicago Sky</t>
  </si>
  <si>
    <t>Connecticut Sun</t>
  </si>
  <si>
    <t>Golden State Valkyries</t>
  </si>
  <si>
    <t>Seattle Storm</t>
  </si>
  <si>
    <t>Phoenix Mercury</t>
  </si>
  <si>
    <t>Las Vegas Aces</t>
  </si>
  <si>
    <t>Indiana Fever</t>
  </si>
  <si>
    <t>New York Liberty</t>
  </si>
  <si>
    <t>Atlanta Dream</t>
  </si>
  <si>
    <t>Minnesota Lynx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</si>
</sst>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 applyAlignment="1">
      <alignment horizontal="center" vertical="center" wrapText="1"/>
    </xf>
    <xf numFmtId="2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left" vertical="center"/>
    </xf>
    <xf numFmtId="1" fontId="2" fillId="0" borderId="0" xfId="0" applyNumberFormat="1" applyFont="1" applyAlignment="1">
      <alignment horizontal="center" vertical="center" wrapText="1"/>
    </xf>
    <xf numFmtId="164" fontId="2" fillId="0" borderId="0" xfId="0" applyNumberFormat="1" applyFont="1" applyAlignment="1">
      <alignment horizontal="center" vertical="center" wrapText="1"/>
    </xf>
    <xf numFmtId="2" fontId="2" fillId="0" borderId="0" xfId="0" applyNumberFormat="1" applyFont="1" applyAlignment="1">
      <alignment horizontal="center" vertical="center" wrapText="1"/>
    </xf>
    <xf numFmtId="2" fontId="0" fillId="0" borderId="0" xfId="0" applyNumberFormat="1" applyAlignment="1">
      <alignment horizontal="center"/>
    </xf>
    <xf numFmtId="0" fontId="3" fillId="2" borderId="0" xfId="0" applyFont="1" applyFill="1"/>
    <xf numFmtId="0" fontId="4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vertical="center"/>
    </xf>
    <xf numFmtId="0" fontId="1" fillId="2" borderId="0" xfId="0" quotePrefix="1" applyFont="1" applyFill="1" applyAlignment="1">
      <alignment horizontal="center" vertical="center" wrapText="1"/>
    </xf>
    <xf numFmtId="0" fontId="0" fillId="2" borderId="0" xfId="0" applyFill="1"/>
    <xf numFmtId="0" fontId="3" fillId="2" borderId="0" xfId="0" applyFont="1" applyFill="1" applyAlignment="1">
      <alignment horizontal="center"/>
    </xf>
    <xf numFmtId="0" fontId="4" fillId="2" borderId="0" xfId="0" applyFont="1" applyFill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63BE7B"/>
      <color rgb="FFF8696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A1139"/>
  <sheetViews>
    <sheetView tabSelected="1" workbookViewId="0">
      <pane xSplit="1" topLeftCell="B1" activePane="topRight" state="frozen"/>
      <selection pane="topRight" sqref="A1:Z1"/>
    </sheetView>
  </sheetViews>
  <sheetFormatPr baseColWidth="10" defaultColWidth="12.5703125" defaultRowHeight="15" customHeight="1" x14ac:dyDescent="0.25"/>
  <cols>
    <col min="1" max="1" width="25.7109375" customWidth="1"/>
    <col min="2" max="53" width="7.7109375" customWidth="1"/>
  </cols>
  <sheetData>
    <row r="1" spans="1:53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Z1" s="17"/>
      <c r="AC1" s="17" t="s">
        <v>24</v>
      </c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</row>
    <row r="2" spans="1:53" ht="26.25" x14ac:dyDescent="0.4">
      <c r="A2" s="11"/>
      <c r="B2" s="18" t="s">
        <v>0</v>
      </c>
      <c r="C2" s="18"/>
      <c r="D2" s="18"/>
      <c r="E2" s="18"/>
      <c r="F2" s="18"/>
      <c r="G2" s="18"/>
      <c r="H2" s="18"/>
      <c r="I2" s="18"/>
      <c r="J2" s="18"/>
      <c r="K2" s="18"/>
      <c r="L2" s="18"/>
      <c r="M2" s="18"/>
      <c r="N2" s="18"/>
      <c r="O2" s="18"/>
      <c r="P2" s="18"/>
      <c r="Q2" s="11"/>
      <c r="R2" s="18" t="s">
        <v>22</v>
      </c>
      <c r="S2" s="18"/>
      <c r="T2" s="18"/>
      <c r="U2" s="18"/>
      <c r="V2" s="11"/>
      <c r="W2" s="18" t="s">
        <v>23</v>
      </c>
      <c r="X2" s="18"/>
      <c r="Y2" s="18"/>
      <c r="Z2" s="18"/>
      <c r="AC2" s="18" t="s">
        <v>0</v>
      </c>
      <c r="AD2" s="18"/>
      <c r="AE2" s="18"/>
      <c r="AF2" s="18"/>
      <c r="AG2" s="18"/>
      <c r="AH2" s="18"/>
      <c r="AI2" s="18"/>
      <c r="AJ2" s="18"/>
      <c r="AK2" s="18"/>
      <c r="AL2" s="18"/>
      <c r="AM2" s="18"/>
      <c r="AN2" s="18"/>
      <c r="AO2" s="18"/>
      <c r="AP2" s="18"/>
      <c r="AQ2" s="18"/>
      <c r="AR2" s="12"/>
      <c r="AS2" s="18" t="s">
        <v>22</v>
      </c>
      <c r="AT2" s="18"/>
      <c r="AU2" s="18"/>
      <c r="AV2" s="18"/>
      <c r="AW2" s="12"/>
      <c r="AX2" s="18" t="s">
        <v>23</v>
      </c>
      <c r="AY2" s="18"/>
      <c r="AZ2" s="18"/>
      <c r="BA2" s="18"/>
    </row>
    <row r="3" spans="1:53" x14ac:dyDescent="0.25">
      <c r="A3" s="13" t="s">
        <v>1</v>
      </c>
      <c r="B3" s="13" t="s">
        <v>11</v>
      </c>
      <c r="C3" s="13" t="s">
        <v>12</v>
      </c>
      <c r="D3" s="13" t="s">
        <v>13</v>
      </c>
      <c r="E3" s="13" t="s">
        <v>14</v>
      </c>
      <c r="F3" s="13" t="s">
        <v>15</v>
      </c>
      <c r="G3" s="13" t="s">
        <v>16</v>
      </c>
      <c r="H3" s="13" t="s">
        <v>17</v>
      </c>
      <c r="I3" s="13" t="s">
        <v>18</v>
      </c>
      <c r="J3" s="13" t="s">
        <v>8</v>
      </c>
      <c r="K3" s="13" t="s">
        <v>9</v>
      </c>
      <c r="L3" s="13" t="s">
        <v>10</v>
      </c>
      <c r="M3" s="13" t="s">
        <v>19</v>
      </c>
      <c r="N3" s="13" t="s">
        <v>5</v>
      </c>
      <c r="O3" s="13" t="s">
        <v>4</v>
      </c>
      <c r="P3" s="13" t="s">
        <v>2</v>
      </c>
      <c r="Q3" s="13"/>
      <c r="R3" s="13" t="s">
        <v>3</v>
      </c>
      <c r="S3" s="13" t="s">
        <v>7</v>
      </c>
      <c r="T3" s="13" t="s">
        <v>6</v>
      </c>
      <c r="U3" s="13" t="s">
        <v>20</v>
      </c>
      <c r="V3" s="13"/>
      <c r="W3" s="13" t="s">
        <v>3</v>
      </c>
      <c r="X3" s="13" t="s">
        <v>7</v>
      </c>
      <c r="Y3" s="13" t="s">
        <v>21</v>
      </c>
      <c r="Z3" s="13" t="s">
        <v>20</v>
      </c>
      <c r="AC3" s="13" t="s">
        <v>11</v>
      </c>
      <c r="AD3" s="13" t="s">
        <v>12</v>
      </c>
      <c r="AE3" s="13" t="s">
        <v>13</v>
      </c>
      <c r="AF3" s="13" t="s">
        <v>14</v>
      </c>
      <c r="AG3" s="13" t="s">
        <v>15</v>
      </c>
      <c r="AH3" s="13" t="s">
        <v>16</v>
      </c>
      <c r="AI3" s="13" t="s">
        <v>17</v>
      </c>
      <c r="AJ3" s="13" t="s">
        <v>18</v>
      </c>
      <c r="AK3" s="13" t="s">
        <v>8</v>
      </c>
      <c r="AL3" s="13" t="s">
        <v>9</v>
      </c>
      <c r="AM3" s="13" t="s">
        <v>10</v>
      </c>
      <c r="AN3" s="13" t="s">
        <v>19</v>
      </c>
      <c r="AO3" s="13" t="s">
        <v>5</v>
      </c>
      <c r="AP3" s="13" t="s">
        <v>4</v>
      </c>
      <c r="AQ3" s="13" t="s">
        <v>2</v>
      </c>
      <c r="AR3" s="13"/>
      <c r="AS3" s="13" t="s">
        <v>3</v>
      </c>
      <c r="AT3" s="13" t="s">
        <v>7</v>
      </c>
      <c r="AU3" s="13" t="s">
        <v>6</v>
      </c>
      <c r="AV3" s="13" t="s">
        <v>20</v>
      </c>
      <c r="AW3" s="13"/>
      <c r="AX3" s="13" t="s">
        <v>3</v>
      </c>
      <c r="AY3" s="13" t="s">
        <v>7</v>
      </c>
      <c r="AZ3" s="13" t="s">
        <v>21</v>
      </c>
      <c r="BA3" s="13" t="s">
        <v>20</v>
      </c>
    </row>
    <row r="4" spans="1:53" x14ac:dyDescent="0.25">
      <c r="A4" s="6" t="s">
        <v>54</v>
      </c>
      <c r="B4" s="8">
        <v>28.8</v>
      </c>
      <c r="C4" s="1">
        <v>34</v>
      </c>
      <c r="D4" s="1">
        <v>10</v>
      </c>
      <c r="E4" s="1">
        <v>37</v>
      </c>
      <c r="F4" s="1">
        <v>7</v>
      </c>
      <c r="G4" s="9">
        <v>9.41</v>
      </c>
      <c r="H4" s="9">
        <v>-0.69</v>
      </c>
      <c r="I4" s="9">
        <v>8.7200000000000006</v>
      </c>
      <c r="J4" s="9">
        <v>112.3</v>
      </c>
      <c r="K4" s="9">
        <v>100</v>
      </c>
      <c r="L4" s="9">
        <v>12.3</v>
      </c>
      <c r="M4" s="9">
        <v>76.400000000000006</v>
      </c>
      <c r="N4" s="9">
        <v>0.23599999999999999</v>
      </c>
      <c r="O4" s="9">
        <v>0.372</v>
      </c>
      <c r="P4" s="9">
        <v>0.57199999999999995</v>
      </c>
      <c r="Q4" s="1"/>
      <c r="R4" s="9">
        <v>0.54200000000000004</v>
      </c>
      <c r="S4" s="9">
        <v>13.9</v>
      </c>
      <c r="T4" s="9">
        <v>26</v>
      </c>
      <c r="U4" s="9">
        <v>0.17899999999999999</v>
      </c>
      <c r="V4" s="1"/>
      <c r="W4" s="9">
        <v>0.48099999999999998</v>
      </c>
      <c r="X4" s="9">
        <v>15.9</v>
      </c>
      <c r="Y4" s="9">
        <v>74.099999999999994</v>
      </c>
      <c r="Z4" s="9">
        <v>0.17799999999999999</v>
      </c>
      <c r="AA4" s="5"/>
      <c r="AB4" s="5"/>
      <c r="AC4" s="5">
        <f t="shared" ref="AC4:AQ16" si="0">RANK(B4,B$4:B$18,0)</f>
        <v>4</v>
      </c>
      <c r="AD4" s="5">
        <f t="shared" si="0"/>
        <v>1</v>
      </c>
      <c r="AE4" s="5">
        <f>RANK(D4,D$4:D$18,1)</f>
        <v>1</v>
      </c>
      <c r="AF4" s="5">
        <f t="shared" si="0"/>
        <v>1</v>
      </c>
      <c r="AG4" s="5">
        <f>RANK(F4,F$4:F$18,1)</f>
        <v>1</v>
      </c>
      <c r="AH4" s="5">
        <f t="shared" si="0"/>
        <v>1</v>
      </c>
      <c r="AI4" s="5">
        <f t="shared" si="0"/>
        <v>11</v>
      </c>
      <c r="AJ4" s="5">
        <f t="shared" si="0"/>
        <v>1</v>
      </c>
      <c r="AK4" s="5">
        <f t="shared" si="0"/>
        <v>1</v>
      </c>
      <c r="AL4" s="5">
        <f>RANK(K4,K$4:K$18,1)</f>
        <v>1</v>
      </c>
      <c r="AM4" s="5">
        <f t="shared" si="0"/>
        <v>1</v>
      </c>
      <c r="AN4" s="5">
        <f t="shared" si="0"/>
        <v>11</v>
      </c>
      <c r="AO4" s="5">
        <f t="shared" si="0"/>
        <v>12</v>
      </c>
      <c r="AP4" s="5">
        <f t="shared" si="0"/>
        <v>7</v>
      </c>
      <c r="AQ4" s="5">
        <f t="shared" si="0"/>
        <v>2</v>
      </c>
      <c r="AR4" s="5"/>
      <c r="AS4" s="5">
        <f>RANK(R4,R$4:R$18,0)</f>
        <v>1</v>
      </c>
      <c r="AT4" s="5">
        <f>RANK(S4,S$4:S$18,1)</f>
        <v>4</v>
      </c>
      <c r="AU4" s="5">
        <f>RANK(T4,T$4:T$18,0)</f>
        <v>5</v>
      </c>
      <c r="AV4" s="5">
        <f>RANK(U4,U$4:U$18,0)</f>
        <v>12</v>
      </c>
      <c r="AW4" s="5"/>
      <c r="AX4" s="5">
        <f>RANK(W4,W$4:W$18,1)</f>
        <v>3</v>
      </c>
      <c r="AY4" s="5">
        <f>RANK(X4,X$4:X$18,0)</f>
        <v>3</v>
      </c>
      <c r="AZ4" s="5">
        <f>RANK(Y4,Y$4:Y$18,0)</f>
        <v>10</v>
      </c>
      <c r="BA4" s="5">
        <f>RANK(Z4,Z$4:Z$18,1)</f>
        <v>1</v>
      </c>
    </row>
    <row r="5" spans="1:53" x14ac:dyDescent="0.25">
      <c r="A5" s="6" t="s">
        <v>53</v>
      </c>
      <c r="B5" s="8">
        <v>27.8</v>
      </c>
      <c r="C5" s="1">
        <v>30</v>
      </c>
      <c r="D5" s="1">
        <v>14</v>
      </c>
      <c r="E5" s="1">
        <v>35</v>
      </c>
      <c r="F5" s="1">
        <v>9</v>
      </c>
      <c r="G5" s="9">
        <v>7.59</v>
      </c>
      <c r="H5" s="9">
        <v>-1.1000000000000001</v>
      </c>
      <c r="I5" s="9">
        <v>6.49</v>
      </c>
      <c r="J5" s="9">
        <v>110.5</v>
      </c>
      <c r="K5" s="9">
        <v>100.5</v>
      </c>
      <c r="L5" s="9">
        <v>10</v>
      </c>
      <c r="M5" s="9">
        <v>76.2</v>
      </c>
      <c r="N5" s="9">
        <v>0.27500000000000002</v>
      </c>
      <c r="O5" s="9">
        <v>0.41799999999999998</v>
      </c>
      <c r="P5" s="9">
        <v>0.55500000000000005</v>
      </c>
      <c r="Q5" s="1"/>
      <c r="R5" s="9">
        <v>0.51400000000000001</v>
      </c>
      <c r="S5" s="9">
        <v>12.9</v>
      </c>
      <c r="T5" s="9">
        <v>26.7</v>
      </c>
      <c r="U5" s="9">
        <v>0.216</v>
      </c>
      <c r="V5" s="1"/>
      <c r="W5" s="9">
        <v>0.47799999999999998</v>
      </c>
      <c r="X5" s="9">
        <v>13.4</v>
      </c>
      <c r="Y5" s="9">
        <v>79.8</v>
      </c>
      <c r="Z5" s="9">
        <v>0.18099999999999999</v>
      </c>
      <c r="AA5" s="5"/>
      <c r="AB5" s="5"/>
      <c r="AC5" s="5">
        <f t="shared" ref="AC5:AC16" si="1">RANK(B5,B$4:B$18,0)</f>
        <v>8</v>
      </c>
      <c r="AD5" s="5">
        <f t="shared" ref="AD5:AD16" si="2">RANK(C5,C$4:C$18,0)</f>
        <v>2</v>
      </c>
      <c r="AE5" s="5">
        <f t="shared" ref="AE5:AE16" si="3">RANK(D5,D$4:D$18,1)</f>
        <v>2</v>
      </c>
      <c r="AF5" s="5">
        <f t="shared" si="0"/>
        <v>2</v>
      </c>
      <c r="AG5" s="5">
        <f t="shared" ref="AG5:AG16" si="4">RANK(F5,F$4:F$18,1)</f>
        <v>2</v>
      </c>
      <c r="AH5" s="5">
        <f t="shared" ref="AH5:AH16" si="5">RANK(G5,G$4:G$18,0)</f>
        <v>2</v>
      </c>
      <c r="AI5" s="5">
        <f t="shared" ref="AI5:AI16" si="6">RANK(H5,H$4:H$18,0)</f>
        <v>13</v>
      </c>
      <c r="AJ5" s="5">
        <f t="shared" ref="AJ5:AJ16" si="7">RANK(I5,I$4:I$18,0)</f>
        <v>2</v>
      </c>
      <c r="AK5" s="5">
        <f t="shared" ref="AK5:AK16" si="8">RANK(J5,J$4:J$18,0)</f>
        <v>2</v>
      </c>
      <c r="AL5" s="5">
        <f t="shared" ref="AL5:AL16" si="9">RANK(K5,K$4:K$18,1)</f>
        <v>2</v>
      </c>
      <c r="AM5" s="5">
        <f t="shared" ref="AM5:AM16" si="10">RANK(L5,L$4:L$18,0)</f>
        <v>2</v>
      </c>
      <c r="AN5" s="5">
        <f t="shared" ref="AN5:AN16" si="11">RANK(M5,M$4:M$18,0)</f>
        <v>12</v>
      </c>
      <c r="AO5" s="5">
        <f t="shared" ref="AO5:AO16" si="12">RANK(N5,N$4:N$18,0)</f>
        <v>5</v>
      </c>
      <c r="AP5" s="5">
        <f t="shared" ref="AP5:AP16" si="13">RANK(O5,O$4:O$18,0)</f>
        <v>2</v>
      </c>
      <c r="AQ5" s="5">
        <f t="shared" ref="AQ5:AQ16" si="14">RANK(P5,P$4:P$18,0)</f>
        <v>4</v>
      </c>
      <c r="AR5" s="5"/>
      <c r="AS5" s="5">
        <f t="shared" ref="AS5:AU11" si="15">RANK(R5,R$4:R$18,0)</f>
        <v>5</v>
      </c>
      <c r="AT5" s="5">
        <f t="shared" ref="AT5:AT16" si="16">RANK(S5,S$4:S$18,1)</f>
        <v>1</v>
      </c>
      <c r="AU5" s="5">
        <f t="shared" si="15"/>
        <v>3</v>
      </c>
      <c r="AV5" s="5">
        <f t="shared" ref="AV5:AV16" si="17">RANK(U5,U$4:U$18,0)</f>
        <v>6</v>
      </c>
      <c r="AW5" s="5"/>
      <c r="AX5" s="5">
        <f t="shared" ref="AX5:AX16" si="18">RANK(W5,W$4:W$18,1)</f>
        <v>2</v>
      </c>
      <c r="AY5" s="5">
        <f t="shared" ref="AY5:AZ16" si="19">RANK(X5,X$4:X$18,0)</f>
        <v>12</v>
      </c>
      <c r="AZ5" s="5">
        <f t="shared" si="19"/>
        <v>1</v>
      </c>
      <c r="BA5" s="5">
        <f t="shared" ref="BA5:BA16" si="20">RANK(Z5,Z$4:Z$18,1)</f>
        <v>2</v>
      </c>
    </row>
    <row r="6" spans="1:53" x14ac:dyDescent="0.25">
      <c r="A6" s="6" t="s">
        <v>52</v>
      </c>
      <c r="B6" s="8">
        <v>29.4</v>
      </c>
      <c r="C6" s="1">
        <v>27</v>
      </c>
      <c r="D6" s="1">
        <v>17</v>
      </c>
      <c r="E6" s="1">
        <v>29</v>
      </c>
      <c r="F6" s="1">
        <v>15</v>
      </c>
      <c r="G6" s="9">
        <v>4.07</v>
      </c>
      <c r="H6" s="9">
        <v>-0.28000000000000003</v>
      </c>
      <c r="I6" s="9">
        <v>3.79</v>
      </c>
      <c r="J6" s="9">
        <v>108.3</v>
      </c>
      <c r="K6" s="9">
        <v>103.1</v>
      </c>
      <c r="L6" s="9">
        <v>5.2</v>
      </c>
      <c r="M6" s="9">
        <v>77.900000000000006</v>
      </c>
      <c r="N6" s="9">
        <v>0.28599999999999998</v>
      </c>
      <c r="O6" s="9">
        <v>0.41</v>
      </c>
      <c r="P6" s="9">
        <v>0.57399999999999995</v>
      </c>
      <c r="Q6" s="1"/>
      <c r="R6" s="9">
        <v>0.52600000000000002</v>
      </c>
      <c r="S6" s="9">
        <v>14.9</v>
      </c>
      <c r="T6" s="9">
        <v>20.8</v>
      </c>
      <c r="U6" s="9">
        <v>0.23899999999999999</v>
      </c>
      <c r="V6" s="1"/>
      <c r="W6" s="9">
        <v>0.48299999999999998</v>
      </c>
      <c r="X6" s="9">
        <v>13.9</v>
      </c>
      <c r="Y6" s="9">
        <v>73.599999999999994</v>
      </c>
      <c r="Z6" s="9">
        <v>0.183</v>
      </c>
      <c r="AA6" s="5"/>
      <c r="AB6" s="5"/>
      <c r="AC6" s="5">
        <f t="shared" si="1"/>
        <v>3</v>
      </c>
      <c r="AD6" s="5">
        <f t="shared" si="2"/>
        <v>4</v>
      </c>
      <c r="AE6" s="5">
        <f t="shared" si="3"/>
        <v>4</v>
      </c>
      <c r="AF6" s="5">
        <f t="shared" si="0"/>
        <v>3</v>
      </c>
      <c r="AG6" s="5">
        <f t="shared" si="4"/>
        <v>3</v>
      </c>
      <c r="AH6" s="5">
        <f t="shared" si="5"/>
        <v>3</v>
      </c>
      <c r="AI6" s="5">
        <f t="shared" si="6"/>
        <v>9</v>
      </c>
      <c r="AJ6" s="5">
        <f t="shared" si="7"/>
        <v>3</v>
      </c>
      <c r="AK6" s="5">
        <f t="shared" si="8"/>
        <v>4</v>
      </c>
      <c r="AL6" s="5">
        <f t="shared" si="9"/>
        <v>6</v>
      </c>
      <c r="AM6" s="5">
        <f t="shared" si="10"/>
        <v>3</v>
      </c>
      <c r="AN6" s="5">
        <f t="shared" si="11"/>
        <v>6</v>
      </c>
      <c r="AO6" s="5">
        <f t="shared" si="12"/>
        <v>3</v>
      </c>
      <c r="AP6" s="5">
        <f t="shared" si="13"/>
        <v>3</v>
      </c>
      <c r="AQ6" s="5">
        <f t="shared" si="14"/>
        <v>1</v>
      </c>
      <c r="AR6" s="5"/>
      <c r="AS6" s="5">
        <f t="shared" si="15"/>
        <v>2</v>
      </c>
      <c r="AT6" s="5">
        <f t="shared" si="16"/>
        <v>8</v>
      </c>
      <c r="AU6" s="5">
        <f t="shared" si="15"/>
        <v>12</v>
      </c>
      <c r="AV6" s="5">
        <f t="shared" si="17"/>
        <v>2</v>
      </c>
      <c r="AW6" s="5"/>
      <c r="AX6" s="5">
        <f t="shared" si="18"/>
        <v>4</v>
      </c>
      <c r="AY6" s="5">
        <f t="shared" si="19"/>
        <v>9</v>
      </c>
      <c r="AZ6" s="5">
        <f t="shared" si="19"/>
        <v>11</v>
      </c>
      <c r="BA6" s="5">
        <f t="shared" si="20"/>
        <v>3</v>
      </c>
    </row>
    <row r="7" spans="1:53" x14ac:dyDescent="0.25">
      <c r="A7" s="6" t="s">
        <v>51</v>
      </c>
      <c r="B7" s="8">
        <v>28.1</v>
      </c>
      <c r="C7" s="1">
        <v>24</v>
      </c>
      <c r="D7" s="1">
        <v>20</v>
      </c>
      <c r="E7" s="1">
        <v>28</v>
      </c>
      <c r="F7" s="1">
        <v>16</v>
      </c>
      <c r="G7" s="9">
        <v>3.36</v>
      </c>
      <c r="H7" s="9">
        <v>-0.83</v>
      </c>
      <c r="I7" s="9">
        <v>2.5299999999999998</v>
      </c>
      <c r="J7" s="9">
        <v>108.4</v>
      </c>
      <c r="K7" s="9">
        <v>104.1</v>
      </c>
      <c r="L7" s="9">
        <v>4.3</v>
      </c>
      <c r="M7" s="9">
        <v>78</v>
      </c>
      <c r="N7" s="9">
        <v>0.26100000000000001</v>
      </c>
      <c r="O7" s="9">
        <v>0.34899999999999998</v>
      </c>
      <c r="P7" s="9">
        <v>0.55400000000000005</v>
      </c>
      <c r="Q7" s="1"/>
      <c r="R7" s="9">
        <v>0.51700000000000002</v>
      </c>
      <c r="S7" s="9">
        <v>14.3</v>
      </c>
      <c r="T7" s="9">
        <v>26.2</v>
      </c>
      <c r="U7" s="9">
        <v>0.20100000000000001</v>
      </c>
      <c r="V7" s="1"/>
      <c r="W7" s="9">
        <v>0.503</v>
      </c>
      <c r="X7" s="9">
        <v>16</v>
      </c>
      <c r="Y7" s="9">
        <v>75.7</v>
      </c>
      <c r="Z7" s="9">
        <v>0.23300000000000001</v>
      </c>
      <c r="AA7" s="5"/>
      <c r="AB7" s="5"/>
      <c r="AC7" s="5">
        <f t="shared" si="1"/>
        <v>6</v>
      </c>
      <c r="AD7" s="5">
        <f t="shared" si="2"/>
        <v>6</v>
      </c>
      <c r="AE7" s="5">
        <f t="shared" si="3"/>
        <v>6</v>
      </c>
      <c r="AF7" s="5">
        <f t="shared" si="0"/>
        <v>4</v>
      </c>
      <c r="AG7" s="5">
        <f t="shared" si="4"/>
        <v>4</v>
      </c>
      <c r="AH7" s="5">
        <f t="shared" si="5"/>
        <v>4</v>
      </c>
      <c r="AI7" s="5">
        <f t="shared" si="6"/>
        <v>12</v>
      </c>
      <c r="AJ7" s="5">
        <f t="shared" si="7"/>
        <v>6</v>
      </c>
      <c r="AK7" s="5">
        <f t="shared" si="8"/>
        <v>3</v>
      </c>
      <c r="AL7" s="5">
        <f t="shared" si="9"/>
        <v>7</v>
      </c>
      <c r="AM7" s="5">
        <f t="shared" si="10"/>
        <v>4</v>
      </c>
      <c r="AN7" s="5">
        <f t="shared" si="11"/>
        <v>5</v>
      </c>
      <c r="AO7" s="5">
        <f t="shared" si="12"/>
        <v>8</v>
      </c>
      <c r="AP7" s="5">
        <f t="shared" si="13"/>
        <v>8</v>
      </c>
      <c r="AQ7" s="5">
        <f t="shared" si="14"/>
        <v>5</v>
      </c>
      <c r="AR7" s="5"/>
      <c r="AS7" s="5">
        <f t="shared" si="15"/>
        <v>4</v>
      </c>
      <c r="AT7" s="5">
        <f t="shared" si="16"/>
        <v>7</v>
      </c>
      <c r="AU7" s="5">
        <f t="shared" si="15"/>
        <v>4</v>
      </c>
      <c r="AV7" s="5">
        <f t="shared" si="17"/>
        <v>10</v>
      </c>
      <c r="AW7" s="5"/>
      <c r="AX7" s="5">
        <f t="shared" si="18"/>
        <v>8</v>
      </c>
      <c r="AY7" s="5">
        <f t="shared" si="19"/>
        <v>2</v>
      </c>
      <c r="AZ7" s="5">
        <f t="shared" si="19"/>
        <v>4</v>
      </c>
      <c r="BA7" s="5">
        <f t="shared" si="20"/>
        <v>11</v>
      </c>
    </row>
    <row r="8" spans="1:53" x14ac:dyDescent="0.25">
      <c r="A8" s="6" t="s">
        <v>50</v>
      </c>
      <c r="B8" s="8">
        <v>28.1</v>
      </c>
      <c r="C8" s="1">
        <v>30</v>
      </c>
      <c r="D8" s="1">
        <v>14</v>
      </c>
      <c r="E8" s="1">
        <v>27</v>
      </c>
      <c r="F8" s="1">
        <v>17</v>
      </c>
      <c r="G8" s="9">
        <v>2.91</v>
      </c>
      <c r="H8" s="9">
        <v>-0.32</v>
      </c>
      <c r="I8" s="9">
        <v>2.59</v>
      </c>
      <c r="J8" s="9">
        <v>108.1</v>
      </c>
      <c r="K8" s="9">
        <v>104.4</v>
      </c>
      <c r="L8" s="9">
        <v>3.7</v>
      </c>
      <c r="M8" s="9">
        <v>77.3</v>
      </c>
      <c r="N8" s="9">
        <v>0.27300000000000002</v>
      </c>
      <c r="O8" s="9">
        <v>0.38300000000000001</v>
      </c>
      <c r="P8" s="9">
        <v>0.55200000000000005</v>
      </c>
      <c r="Q8" s="1"/>
      <c r="R8" s="9">
        <v>0.50600000000000001</v>
      </c>
      <c r="S8" s="9">
        <v>13.6</v>
      </c>
      <c r="T8" s="9">
        <v>23.5</v>
      </c>
      <c r="U8" s="9">
        <v>0.22500000000000001</v>
      </c>
      <c r="V8" s="1"/>
      <c r="W8" s="9">
        <v>0.48899999999999999</v>
      </c>
      <c r="X8" s="9">
        <v>14.1</v>
      </c>
      <c r="Y8" s="9">
        <v>74.5</v>
      </c>
      <c r="Z8" s="9">
        <v>0.19900000000000001</v>
      </c>
      <c r="AA8" s="5"/>
      <c r="AB8" s="5"/>
      <c r="AC8" s="5">
        <f t="shared" si="1"/>
        <v>6</v>
      </c>
      <c r="AD8" s="5">
        <f t="shared" si="2"/>
        <v>2</v>
      </c>
      <c r="AE8" s="5">
        <f t="shared" si="3"/>
        <v>2</v>
      </c>
      <c r="AF8" s="5">
        <f t="shared" si="0"/>
        <v>5</v>
      </c>
      <c r="AG8" s="5">
        <f t="shared" si="4"/>
        <v>5</v>
      </c>
      <c r="AH8" s="5">
        <f t="shared" si="5"/>
        <v>5</v>
      </c>
      <c r="AI8" s="5">
        <f t="shared" si="6"/>
        <v>10</v>
      </c>
      <c r="AJ8" s="5">
        <f t="shared" si="7"/>
        <v>4</v>
      </c>
      <c r="AK8" s="5">
        <f t="shared" si="8"/>
        <v>5</v>
      </c>
      <c r="AL8" s="5">
        <f t="shared" si="9"/>
        <v>8</v>
      </c>
      <c r="AM8" s="5">
        <f t="shared" si="10"/>
        <v>5</v>
      </c>
      <c r="AN8" s="5">
        <f t="shared" si="11"/>
        <v>7</v>
      </c>
      <c r="AO8" s="5">
        <f t="shared" si="12"/>
        <v>6</v>
      </c>
      <c r="AP8" s="5">
        <f t="shared" si="13"/>
        <v>5</v>
      </c>
      <c r="AQ8" s="5">
        <f t="shared" si="14"/>
        <v>6</v>
      </c>
      <c r="AR8" s="5"/>
      <c r="AS8" s="5">
        <f t="shared" si="15"/>
        <v>6</v>
      </c>
      <c r="AT8" s="5">
        <f t="shared" si="16"/>
        <v>3</v>
      </c>
      <c r="AU8" s="5">
        <f t="shared" si="15"/>
        <v>10</v>
      </c>
      <c r="AV8" s="5">
        <f t="shared" si="17"/>
        <v>5</v>
      </c>
      <c r="AW8" s="5"/>
      <c r="AX8" s="5">
        <f t="shared" si="18"/>
        <v>6</v>
      </c>
      <c r="AY8" s="5">
        <f t="shared" si="19"/>
        <v>8</v>
      </c>
      <c r="AZ8" s="5">
        <f t="shared" si="19"/>
        <v>8</v>
      </c>
      <c r="BA8" s="5">
        <f t="shared" si="20"/>
        <v>5</v>
      </c>
    </row>
    <row r="9" spans="1:53" x14ac:dyDescent="0.25">
      <c r="A9" s="6" t="s">
        <v>49</v>
      </c>
      <c r="B9" s="8">
        <v>29.7</v>
      </c>
      <c r="C9" s="1">
        <v>27</v>
      </c>
      <c r="D9" s="1">
        <v>17</v>
      </c>
      <c r="E9" s="1">
        <v>27</v>
      </c>
      <c r="F9" s="1">
        <v>17</v>
      </c>
      <c r="G9" s="9">
        <v>2.68</v>
      </c>
      <c r="H9" s="9">
        <v>-0.13</v>
      </c>
      <c r="I9" s="9">
        <v>2.5499999999999998</v>
      </c>
      <c r="J9" s="9">
        <v>105.9</v>
      </c>
      <c r="K9" s="9">
        <v>102.5</v>
      </c>
      <c r="L9" s="9">
        <v>3.4</v>
      </c>
      <c r="M9" s="9">
        <v>78.2</v>
      </c>
      <c r="N9" s="9">
        <v>0.25900000000000001</v>
      </c>
      <c r="O9" s="9">
        <v>0.40300000000000002</v>
      </c>
      <c r="P9" s="9">
        <v>0.54200000000000004</v>
      </c>
      <c r="Q9" s="1"/>
      <c r="R9" s="9">
        <v>0.502</v>
      </c>
      <c r="S9" s="9">
        <v>14.1</v>
      </c>
      <c r="T9" s="9">
        <v>24.4</v>
      </c>
      <c r="U9" s="9">
        <v>0.20300000000000001</v>
      </c>
      <c r="V9" s="1"/>
      <c r="W9" s="9">
        <v>0.48599999999999999</v>
      </c>
      <c r="X9" s="9">
        <v>15.5</v>
      </c>
      <c r="Y9" s="9">
        <v>75.5</v>
      </c>
      <c r="Z9" s="9">
        <v>0.22500000000000001</v>
      </c>
      <c r="AA9" s="5"/>
      <c r="AB9" s="5"/>
      <c r="AC9" s="5">
        <f t="shared" si="1"/>
        <v>2</v>
      </c>
      <c r="AD9" s="5">
        <f t="shared" si="2"/>
        <v>4</v>
      </c>
      <c r="AE9" s="5">
        <f t="shared" si="3"/>
        <v>4</v>
      </c>
      <c r="AF9" s="5">
        <f t="shared" si="0"/>
        <v>5</v>
      </c>
      <c r="AG9" s="5">
        <f t="shared" si="4"/>
        <v>5</v>
      </c>
      <c r="AH9" s="5">
        <f t="shared" si="5"/>
        <v>6</v>
      </c>
      <c r="AI9" s="5">
        <f t="shared" si="6"/>
        <v>8</v>
      </c>
      <c r="AJ9" s="5">
        <f t="shared" si="7"/>
        <v>5</v>
      </c>
      <c r="AK9" s="5">
        <f t="shared" si="8"/>
        <v>7</v>
      </c>
      <c r="AL9" s="5">
        <f t="shared" si="9"/>
        <v>5</v>
      </c>
      <c r="AM9" s="5">
        <f t="shared" si="10"/>
        <v>6</v>
      </c>
      <c r="AN9" s="5">
        <f t="shared" si="11"/>
        <v>3</v>
      </c>
      <c r="AO9" s="5">
        <f t="shared" si="12"/>
        <v>9</v>
      </c>
      <c r="AP9" s="5">
        <f t="shared" si="13"/>
        <v>4</v>
      </c>
      <c r="AQ9" s="5">
        <f t="shared" si="14"/>
        <v>7</v>
      </c>
      <c r="AR9" s="5"/>
      <c r="AS9" s="5">
        <f t="shared" si="15"/>
        <v>8</v>
      </c>
      <c r="AT9" s="5">
        <f t="shared" si="16"/>
        <v>6</v>
      </c>
      <c r="AU9" s="5">
        <f t="shared" si="15"/>
        <v>7</v>
      </c>
      <c r="AV9" s="5">
        <f t="shared" si="17"/>
        <v>9</v>
      </c>
      <c r="AW9" s="5"/>
      <c r="AX9" s="5">
        <f t="shared" si="18"/>
        <v>5</v>
      </c>
      <c r="AY9" s="5">
        <f t="shared" si="19"/>
        <v>4</v>
      </c>
      <c r="AZ9" s="5">
        <f t="shared" si="19"/>
        <v>6</v>
      </c>
      <c r="BA9" s="5">
        <f t="shared" si="20"/>
        <v>9</v>
      </c>
    </row>
    <row r="10" spans="1:53" x14ac:dyDescent="0.25">
      <c r="A10" s="6" t="s">
        <v>48</v>
      </c>
      <c r="B10" s="8">
        <v>30.2</v>
      </c>
      <c r="C10" s="1">
        <v>23</v>
      </c>
      <c r="D10" s="1">
        <v>21</v>
      </c>
      <c r="E10" s="1">
        <v>26</v>
      </c>
      <c r="F10" s="1">
        <v>18</v>
      </c>
      <c r="G10" s="9">
        <v>2.0499999999999998</v>
      </c>
      <c r="H10" s="9">
        <v>-0.02</v>
      </c>
      <c r="I10" s="9">
        <v>2.02</v>
      </c>
      <c r="J10" s="9">
        <v>104.5</v>
      </c>
      <c r="K10" s="9">
        <v>101.9</v>
      </c>
      <c r="L10" s="9">
        <v>2.6</v>
      </c>
      <c r="M10" s="9">
        <v>78.2</v>
      </c>
      <c r="N10" s="9">
        <v>0.23100000000000001</v>
      </c>
      <c r="O10" s="9">
        <v>0.31900000000000001</v>
      </c>
      <c r="P10" s="9">
        <v>0.53900000000000003</v>
      </c>
      <c r="Q10" s="1"/>
      <c r="R10" s="9">
        <v>0.505</v>
      </c>
      <c r="S10" s="9">
        <v>13.2</v>
      </c>
      <c r="T10" s="9">
        <v>19.899999999999999</v>
      </c>
      <c r="U10" s="9">
        <v>0.17799999999999999</v>
      </c>
      <c r="V10" s="1"/>
      <c r="W10" s="9">
        <v>0.497</v>
      </c>
      <c r="X10" s="9">
        <v>16.8</v>
      </c>
      <c r="Y10" s="9">
        <v>74.2</v>
      </c>
      <c r="Z10" s="9">
        <v>0.219</v>
      </c>
      <c r="AA10" s="5"/>
      <c r="AB10" s="5"/>
      <c r="AC10" s="5">
        <f t="shared" si="1"/>
        <v>1</v>
      </c>
      <c r="AD10" s="5">
        <f t="shared" si="2"/>
        <v>7</v>
      </c>
      <c r="AE10" s="5">
        <f t="shared" si="3"/>
        <v>7</v>
      </c>
      <c r="AF10" s="5">
        <f t="shared" si="0"/>
        <v>7</v>
      </c>
      <c r="AG10" s="5">
        <f t="shared" si="4"/>
        <v>7</v>
      </c>
      <c r="AH10" s="5">
        <f t="shared" si="5"/>
        <v>7</v>
      </c>
      <c r="AI10" s="5">
        <f t="shared" si="6"/>
        <v>7</v>
      </c>
      <c r="AJ10" s="5">
        <f t="shared" si="7"/>
        <v>7</v>
      </c>
      <c r="AK10" s="5">
        <f t="shared" si="8"/>
        <v>8</v>
      </c>
      <c r="AL10" s="5">
        <f t="shared" si="9"/>
        <v>3</v>
      </c>
      <c r="AM10" s="5">
        <f t="shared" si="10"/>
        <v>7</v>
      </c>
      <c r="AN10" s="5">
        <f t="shared" si="11"/>
        <v>3</v>
      </c>
      <c r="AO10" s="5">
        <f t="shared" si="12"/>
        <v>13</v>
      </c>
      <c r="AP10" s="5">
        <f t="shared" si="13"/>
        <v>9</v>
      </c>
      <c r="AQ10" s="5">
        <f t="shared" si="14"/>
        <v>8</v>
      </c>
      <c r="AR10" s="5"/>
      <c r="AS10" s="5">
        <f t="shared" si="15"/>
        <v>7</v>
      </c>
      <c r="AT10" s="5">
        <f t="shared" si="16"/>
        <v>2</v>
      </c>
      <c r="AU10" s="5">
        <f t="shared" si="15"/>
        <v>13</v>
      </c>
      <c r="AV10" s="5">
        <f t="shared" si="17"/>
        <v>13</v>
      </c>
      <c r="AW10" s="5"/>
      <c r="AX10" s="5">
        <f t="shared" si="18"/>
        <v>7</v>
      </c>
      <c r="AY10" s="5">
        <f t="shared" si="19"/>
        <v>1</v>
      </c>
      <c r="AZ10" s="5">
        <f t="shared" si="19"/>
        <v>9</v>
      </c>
      <c r="BA10" s="5">
        <f t="shared" si="20"/>
        <v>8</v>
      </c>
    </row>
    <row r="11" spans="1:53" x14ac:dyDescent="0.25">
      <c r="A11" s="6" t="s">
        <v>47</v>
      </c>
      <c r="B11" s="8">
        <v>27</v>
      </c>
      <c r="C11" s="1">
        <v>23</v>
      </c>
      <c r="D11" s="1">
        <v>21</v>
      </c>
      <c r="E11" s="1">
        <v>25</v>
      </c>
      <c r="F11" s="1">
        <v>19</v>
      </c>
      <c r="G11" s="9">
        <v>1.39</v>
      </c>
      <c r="H11" s="9">
        <v>0.08</v>
      </c>
      <c r="I11" s="9">
        <v>1.47</v>
      </c>
      <c r="J11" s="9">
        <v>103.9</v>
      </c>
      <c r="K11" s="9">
        <v>102.1</v>
      </c>
      <c r="L11" s="9">
        <v>1.8</v>
      </c>
      <c r="M11" s="9">
        <v>74.599999999999994</v>
      </c>
      <c r="N11" s="9">
        <v>0.28199999999999997</v>
      </c>
      <c r="O11" s="9">
        <v>0.45800000000000002</v>
      </c>
      <c r="P11" s="9">
        <v>0.53100000000000003</v>
      </c>
      <c r="Q11" s="1"/>
      <c r="R11" s="9">
        <v>0.48199999999999998</v>
      </c>
      <c r="S11" s="9">
        <v>14.9</v>
      </c>
      <c r="T11" s="9">
        <v>26</v>
      </c>
      <c r="U11" s="9">
        <v>0.23</v>
      </c>
      <c r="V11" s="1"/>
      <c r="W11" s="9">
        <v>0.47199999999999998</v>
      </c>
      <c r="X11" s="9">
        <v>13.9</v>
      </c>
      <c r="Y11" s="9">
        <v>76</v>
      </c>
      <c r="Z11" s="9">
        <v>0.215</v>
      </c>
      <c r="AA11" s="5"/>
      <c r="AB11" s="5"/>
      <c r="AC11" s="5">
        <f t="shared" si="1"/>
        <v>11</v>
      </c>
      <c r="AD11" s="5">
        <f t="shared" si="2"/>
        <v>7</v>
      </c>
      <c r="AE11" s="5">
        <f t="shared" si="3"/>
        <v>7</v>
      </c>
      <c r="AF11" s="5">
        <f t="shared" si="0"/>
        <v>8</v>
      </c>
      <c r="AG11" s="5">
        <f t="shared" si="4"/>
        <v>8</v>
      </c>
      <c r="AH11" s="5">
        <f t="shared" si="5"/>
        <v>8</v>
      </c>
      <c r="AI11" s="5">
        <f t="shared" si="6"/>
        <v>6</v>
      </c>
      <c r="AJ11" s="5">
        <f t="shared" si="7"/>
        <v>8</v>
      </c>
      <c r="AK11" s="5">
        <f t="shared" si="8"/>
        <v>9</v>
      </c>
      <c r="AL11" s="5">
        <f t="shared" si="9"/>
        <v>4</v>
      </c>
      <c r="AM11" s="5">
        <f t="shared" si="10"/>
        <v>8</v>
      </c>
      <c r="AN11" s="5">
        <f t="shared" si="11"/>
        <v>13</v>
      </c>
      <c r="AO11" s="5">
        <f t="shared" si="12"/>
        <v>4</v>
      </c>
      <c r="AP11" s="5">
        <f t="shared" si="13"/>
        <v>1</v>
      </c>
      <c r="AQ11" s="5">
        <f t="shared" si="14"/>
        <v>9</v>
      </c>
      <c r="AR11" s="5"/>
      <c r="AS11" s="5">
        <f t="shared" si="15"/>
        <v>10</v>
      </c>
      <c r="AT11" s="5">
        <f t="shared" si="16"/>
        <v>8</v>
      </c>
      <c r="AU11" s="5">
        <f t="shared" si="15"/>
        <v>5</v>
      </c>
      <c r="AV11" s="5">
        <f t="shared" si="17"/>
        <v>4</v>
      </c>
      <c r="AW11" s="5"/>
      <c r="AX11" s="5">
        <f t="shared" si="18"/>
        <v>1</v>
      </c>
      <c r="AY11" s="5">
        <f t="shared" si="19"/>
        <v>9</v>
      </c>
      <c r="AZ11" s="5">
        <f t="shared" si="19"/>
        <v>3</v>
      </c>
      <c r="BA11" s="5">
        <f t="shared" si="20"/>
        <v>6</v>
      </c>
    </row>
    <row r="12" spans="1:53" x14ac:dyDescent="0.25">
      <c r="A12" s="6" t="s">
        <v>42</v>
      </c>
      <c r="B12" s="8">
        <v>28.3</v>
      </c>
      <c r="C12" s="1">
        <v>21</v>
      </c>
      <c r="D12" s="1">
        <v>23</v>
      </c>
      <c r="E12" s="1">
        <v>18</v>
      </c>
      <c r="F12" s="1">
        <v>26</v>
      </c>
      <c r="G12" s="9">
        <v>-2.57</v>
      </c>
      <c r="H12" s="9">
        <v>0.38</v>
      </c>
      <c r="I12" s="9">
        <v>-2.19</v>
      </c>
      <c r="J12" s="9">
        <v>107.5</v>
      </c>
      <c r="K12" s="9">
        <v>110.7</v>
      </c>
      <c r="L12" s="9">
        <v>-3.2</v>
      </c>
      <c r="M12" s="9">
        <v>79</v>
      </c>
      <c r="N12" s="9">
        <v>0.30399999999999999</v>
      </c>
      <c r="O12" s="9">
        <v>0.38200000000000001</v>
      </c>
      <c r="P12" s="9">
        <v>0.56299999999999994</v>
      </c>
      <c r="Q12" s="1"/>
      <c r="R12" s="9">
        <v>0.52100000000000002</v>
      </c>
      <c r="S12" s="9">
        <v>15.7</v>
      </c>
      <c r="T12" s="9">
        <v>24.1</v>
      </c>
      <c r="U12" s="9">
        <v>0.23400000000000001</v>
      </c>
      <c r="V12" s="1"/>
      <c r="W12" s="9">
        <v>0.52400000000000002</v>
      </c>
      <c r="X12" s="9">
        <v>13.8</v>
      </c>
      <c r="Y12" s="9">
        <v>73.599999999999994</v>
      </c>
      <c r="Z12" s="9">
        <v>0.189</v>
      </c>
      <c r="AA12" s="5"/>
      <c r="AB12" s="5"/>
      <c r="AC12" s="5">
        <f t="shared" si="1"/>
        <v>5</v>
      </c>
      <c r="AD12" s="5">
        <f t="shared" si="2"/>
        <v>9</v>
      </c>
      <c r="AE12" s="5">
        <f t="shared" si="3"/>
        <v>9</v>
      </c>
      <c r="AF12" s="5">
        <f t="shared" si="0"/>
        <v>9</v>
      </c>
      <c r="AG12" s="5">
        <f t="shared" si="4"/>
        <v>9</v>
      </c>
      <c r="AH12" s="5">
        <f t="shared" si="5"/>
        <v>9</v>
      </c>
      <c r="AI12" s="5">
        <f t="shared" si="6"/>
        <v>4</v>
      </c>
      <c r="AJ12" s="5">
        <f t="shared" si="7"/>
        <v>9</v>
      </c>
      <c r="AK12" s="5">
        <f t="shared" si="8"/>
        <v>6</v>
      </c>
      <c r="AL12" s="5">
        <f t="shared" si="9"/>
        <v>10</v>
      </c>
      <c r="AM12" s="5">
        <f t="shared" si="10"/>
        <v>9</v>
      </c>
      <c r="AN12" s="5">
        <f t="shared" si="11"/>
        <v>1</v>
      </c>
      <c r="AO12" s="5">
        <f t="shared" si="12"/>
        <v>2</v>
      </c>
      <c r="AP12" s="5">
        <f t="shared" si="13"/>
        <v>6</v>
      </c>
      <c r="AQ12" s="5">
        <f t="shared" si="14"/>
        <v>3</v>
      </c>
      <c r="AR12" s="5"/>
      <c r="AS12" s="5">
        <f t="shared" ref="AS12:AS16" si="21">RANK(R12,R$4:R$18,0)</f>
        <v>3</v>
      </c>
      <c r="AT12" s="5">
        <f t="shared" si="16"/>
        <v>11</v>
      </c>
      <c r="AU12" s="5">
        <f t="shared" ref="AU12:AU16" si="22">RANK(T12,T$4:T$18,0)</f>
        <v>9</v>
      </c>
      <c r="AV12" s="5">
        <f t="shared" si="17"/>
        <v>3</v>
      </c>
      <c r="AW12" s="5"/>
      <c r="AX12" s="5">
        <f t="shared" si="18"/>
        <v>11</v>
      </c>
      <c r="AY12" s="5">
        <f t="shared" si="19"/>
        <v>11</v>
      </c>
      <c r="AZ12" s="5">
        <f t="shared" si="19"/>
        <v>11</v>
      </c>
      <c r="BA12" s="5">
        <f t="shared" si="20"/>
        <v>4</v>
      </c>
    </row>
    <row r="13" spans="1:53" x14ac:dyDescent="0.25">
      <c r="A13" s="6" t="s">
        <v>43</v>
      </c>
      <c r="B13" s="8">
        <v>24.8</v>
      </c>
      <c r="C13" s="1">
        <v>16</v>
      </c>
      <c r="D13" s="1">
        <v>28</v>
      </c>
      <c r="E13" s="1">
        <v>14</v>
      </c>
      <c r="F13" s="1">
        <v>30</v>
      </c>
      <c r="G13" s="9">
        <v>-4.43</v>
      </c>
      <c r="H13" s="9">
        <v>0.21</v>
      </c>
      <c r="I13" s="9">
        <v>-4.2300000000000004</v>
      </c>
      <c r="J13" s="9">
        <v>100</v>
      </c>
      <c r="K13" s="9">
        <v>105.7</v>
      </c>
      <c r="L13" s="9">
        <v>-5.7</v>
      </c>
      <c r="M13" s="9">
        <v>76.900000000000006</v>
      </c>
      <c r="N13" s="9">
        <v>0.32500000000000001</v>
      </c>
      <c r="O13" s="9">
        <v>0.26900000000000002</v>
      </c>
      <c r="P13" s="9">
        <v>0.53</v>
      </c>
      <c r="Q13" s="1"/>
      <c r="R13" s="9">
        <v>0.48299999999999998</v>
      </c>
      <c r="S13" s="9">
        <v>16.399999999999999</v>
      </c>
      <c r="T13" s="9">
        <v>23.5</v>
      </c>
      <c r="U13" s="9">
        <v>0.245</v>
      </c>
      <c r="V13" s="1"/>
      <c r="W13" s="9">
        <v>0.505</v>
      </c>
      <c r="X13" s="9">
        <v>14.3</v>
      </c>
      <c r="Y13" s="9">
        <v>77.599999999999994</v>
      </c>
      <c r="Z13" s="9">
        <v>0.22500000000000001</v>
      </c>
      <c r="AA13" s="5"/>
      <c r="AB13" s="5"/>
      <c r="AC13" s="5">
        <f t="shared" si="1"/>
        <v>13</v>
      </c>
      <c r="AD13" s="5">
        <f t="shared" si="2"/>
        <v>10</v>
      </c>
      <c r="AE13" s="5">
        <f t="shared" si="3"/>
        <v>10</v>
      </c>
      <c r="AF13" s="5">
        <f t="shared" si="0"/>
        <v>10</v>
      </c>
      <c r="AG13" s="5">
        <f t="shared" si="4"/>
        <v>10</v>
      </c>
      <c r="AH13" s="5">
        <f t="shared" si="5"/>
        <v>10</v>
      </c>
      <c r="AI13" s="5">
        <f t="shared" si="6"/>
        <v>5</v>
      </c>
      <c r="AJ13" s="5">
        <f t="shared" si="7"/>
        <v>10</v>
      </c>
      <c r="AK13" s="5">
        <f t="shared" si="8"/>
        <v>11</v>
      </c>
      <c r="AL13" s="5">
        <f t="shared" si="9"/>
        <v>9</v>
      </c>
      <c r="AM13" s="5">
        <f t="shared" si="10"/>
        <v>10</v>
      </c>
      <c r="AN13" s="5">
        <f t="shared" si="11"/>
        <v>8</v>
      </c>
      <c r="AO13" s="5">
        <f t="shared" si="12"/>
        <v>1</v>
      </c>
      <c r="AP13" s="5">
        <f t="shared" si="13"/>
        <v>13</v>
      </c>
      <c r="AQ13" s="5">
        <f t="shared" si="14"/>
        <v>10</v>
      </c>
      <c r="AR13" s="5"/>
      <c r="AS13" s="5">
        <f t="shared" si="21"/>
        <v>9</v>
      </c>
      <c r="AT13" s="5">
        <f t="shared" si="16"/>
        <v>12</v>
      </c>
      <c r="AU13" s="5">
        <f t="shared" si="22"/>
        <v>10</v>
      </c>
      <c r="AV13" s="5">
        <f t="shared" si="17"/>
        <v>1</v>
      </c>
      <c r="AW13" s="5"/>
      <c r="AX13" s="5">
        <f t="shared" si="18"/>
        <v>9</v>
      </c>
      <c r="AY13" s="5">
        <f t="shared" si="19"/>
        <v>6</v>
      </c>
      <c r="AZ13" s="5">
        <f t="shared" si="19"/>
        <v>2</v>
      </c>
      <c r="BA13" s="5">
        <f t="shared" si="20"/>
        <v>9</v>
      </c>
    </row>
    <row r="14" spans="1:53" x14ac:dyDescent="0.25">
      <c r="A14" s="6" t="s">
        <v>44</v>
      </c>
      <c r="B14" s="8">
        <v>25.4</v>
      </c>
      <c r="C14" s="1">
        <v>10</v>
      </c>
      <c r="D14" s="1">
        <v>34</v>
      </c>
      <c r="E14" s="1">
        <v>11</v>
      </c>
      <c r="F14" s="1">
        <v>33</v>
      </c>
      <c r="G14" s="9">
        <v>-6.3</v>
      </c>
      <c r="H14" s="9">
        <v>0.92</v>
      </c>
      <c r="I14" s="9">
        <v>-5.38</v>
      </c>
      <c r="J14" s="9">
        <v>103.3</v>
      </c>
      <c r="K14" s="9">
        <v>111.2</v>
      </c>
      <c r="L14" s="9">
        <v>-7.9</v>
      </c>
      <c r="M14" s="9">
        <v>78.8</v>
      </c>
      <c r="N14" s="9">
        <v>0.25700000000000001</v>
      </c>
      <c r="O14" s="9">
        <v>0.30199999999999999</v>
      </c>
      <c r="P14" s="9">
        <v>0.51400000000000001</v>
      </c>
      <c r="Q14" s="1"/>
      <c r="R14" s="9">
        <v>0.46899999999999997</v>
      </c>
      <c r="S14" s="9">
        <v>13.9</v>
      </c>
      <c r="T14" s="9">
        <v>27.6</v>
      </c>
      <c r="U14" s="9">
        <v>0.20599999999999999</v>
      </c>
      <c r="V14" s="1"/>
      <c r="W14" s="9">
        <v>0.53100000000000003</v>
      </c>
      <c r="X14" s="9">
        <v>14.2</v>
      </c>
      <c r="Y14" s="9">
        <v>75.7</v>
      </c>
      <c r="Z14" s="9">
        <v>0.255</v>
      </c>
      <c r="AA14" s="5"/>
      <c r="AB14" s="5"/>
      <c r="AC14" s="5">
        <f t="shared" si="1"/>
        <v>12</v>
      </c>
      <c r="AD14" s="5">
        <f t="shared" si="2"/>
        <v>12</v>
      </c>
      <c r="AE14" s="5">
        <f t="shared" si="3"/>
        <v>12</v>
      </c>
      <c r="AF14" s="5">
        <f t="shared" si="0"/>
        <v>11</v>
      </c>
      <c r="AG14" s="5">
        <f t="shared" si="4"/>
        <v>11</v>
      </c>
      <c r="AH14" s="5">
        <f t="shared" si="5"/>
        <v>11</v>
      </c>
      <c r="AI14" s="5">
        <f t="shared" si="6"/>
        <v>1</v>
      </c>
      <c r="AJ14" s="5">
        <f t="shared" si="7"/>
        <v>11</v>
      </c>
      <c r="AK14" s="5">
        <f t="shared" si="8"/>
        <v>10</v>
      </c>
      <c r="AL14" s="5">
        <f t="shared" si="9"/>
        <v>11</v>
      </c>
      <c r="AM14" s="5">
        <f t="shared" si="10"/>
        <v>11</v>
      </c>
      <c r="AN14" s="5">
        <f t="shared" si="11"/>
        <v>2</v>
      </c>
      <c r="AO14" s="5">
        <f t="shared" si="12"/>
        <v>11</v>
      </c>
      <c r="AP14" s="5">
        <f t="shared" si="13"/>
        <v>12</v>
      </c>
      <c r="AQ14" s="5">
        <f t="shared" si="14"/>
        <v>12</v>
      </c>
      <c r="AR14" s="5"/>
      <c r="AS14" s="5">
        <f t="shared" si="21"/>
        <v>12</v>
      </c>
      <c r="AT14" s="5">
        <f t="shared" si="16"/>
        <v>4</v>
      </c>
      <c r="AU14" s="5">
        <f t="shared" si="22"/>
        <v>2</v>
      </c>
      <c r="AV14" s="5">
        <f t="shared" si="17"/>
        <v>8</v>
      </c>
      <c r="AW14" s="5"/>
      <c r="AX14" s="5">
        <f t="shared" si="18"/>
        <v>13</v>
      </c>
      <c r="AY14" s="5">
        <f t="shared" si="19"/>
        <v>7</v>
      </c>
      <c r="AZ14" s="5">
        <f t="shared" si="19"/>
        <v>4</v>
      </c>
      <c r="BA14" s="5">
        <f t="shared" si="20"/>
        <v>13</v>
      </c>
    </row>
    <row r="15" spans="1:53" x14ac:dyDescent="0.25">
      <c r="A15" s="6" t="s">
        <v>45</v>
      </c>
      <c r="B15" s="8">
        <v>27.7</v>
      </c>
      <c r="C15" s="1">
        <v>10</v>
      </c>
      <c r="D15" s="1">
        <v>34</v>
      </c>
      <c r="E15" s="1">
        <v>7</v>
      </c>
      <c r="F15" s="1">
        <v>37</v>
      </c>
      <c r="G15" s="9">
        <v>-10.050000000000001</v>
      </c>
      <c r="H15" s="9">
        <v>0.92</v>
      </c>
      <c r="I15" s="9">
        <v>-9.1300000000000008</v>
      </c>
      <c r="J15" s="9">
        <v>98.8</v>
      </c>
      <c r="K15" s="9">
        <v>111.9</v>
      </c>
      <c r="L15" s="9">
        <v>-13.1</v>
      </c>
      <c r="M15" s="9">
        <v>76.7</v>
      </c>
      <c r="N15" s="9">
        <v>0.25900000000000001</v>
      </c>
      <c r="O15" s="9">
        <v>0.30599999999999999</v>
      </c>
      <c r="P15" s="9">
        <v>0.51600000000000001</v>
      </c>
      <c r="Q15" s="1"/>
      <c r="R15" s="9">
        <v>0.47599999999999998</v>
      </c>
      <c r="S15" s="9">
        <v>17.399999999999999</v>
      </c>
      <c r="T15" s="9">
        <v>29.1</v>
      </c>
      <c r="U15" s="9">
        <v>0.19800000000000001</v>
      </c>
      <c r="V15" s="1"/>
      <c r="W15" s="9">
        <v>0.52100000000000002</v>
      </c>
      <c r="X15" s="9">
        <v>12.6</v>
      </c>
      <c r="Y15" s="9">
        <v>74.7</v>
      </c>
      <c r="Z15" s="9">
        <v>0.215</v>
      </c>
      <c r="AA15" s="5"/>
      <c r="AB15" s="5"/>
      <c r="AC15" s="5">
        <f t="shared" si="1"/>
        <v>9</v>
      </c>
      <c r="AD15" s="5">
        <f t="shared" si="2"/>
        <v>12</v>
      </c>
      <c r="AE15" s="5">
        <f t="shared" si="3"/>
        <v>12</v>
      </c>
      <c r="AF15" s="5">
        <f t="shared" si="0"/>
        <v>12</v>
      </c>
      <c r="AG15" s="5">
        <f t="shared" si="4"/>
        <v>12</v>
      </c>
      <c r="AH15" s="5">
        <f t="shared" si="5"/>
        <v>12</v>
      </c>
      <c r="AI15" s="5">
        <f t="shared" si="6"/>
        <v>1</v>
      </c>
      <c r="AJ15" s="5">
        <f t="shared" si="7"/>
        <v>12</v>
      </c>
      <c r="AK15" s="5">
        <f t="shared" si="8"/>
        <v>12</v>
      </c>
      <c r="AL15" s="5">
        <f t="shared" si="9"/>
        <v>13</v>
      </c>
      <c r="AM15" s="5">
        <f t="shared" si="10"/>
        <v>12</v>
      </c>
      <c r="AN15" s="5">
        <f t="shared" si="11"/>
        <v>10</v>
      </c>
      <c r="AO15" s="5">
        <f t="shared" si="12"/>
        <v>9</v>
      </c>
      <c r="AP15" s="5">
        <f t="shared" si="13"/>
        <v>10</v>
      </c>
      <c r="AQ15" s="5">
        <f t="shared" si="14"/>
        <v>11</v>
      </c>
      <c r="AR15" s="5"/>
      <c r="AS15" s="5">
        <f t="shared" si="21"/>
        <v>11</v>
      </c>
      <c r="AT15" s="5">
        <f t="shared" si="16"/>
        <v>13</v>
      </c>
      <c r="AU15" s="5">
        <f t="shared" si="22"/>
        <v>1</v>
      </c>
      <c r="AV15" s="5">
        <f t="shared" si="17"/>
        <v>11</v>
      </c>
      <c r="AW15" s="5"/>
      <c r="AX15" s="5">
        <f t="shared" si="18"/>
        <v>10</v>
      </c>
      <c r="AY15" s="5">
        <f t="shared" si="19"/>
        <v>13</v>
      </c>
      <c r="AZ15" s="5">
        <f t="shared" si="19"/>
        <v>7</v>
      </c>
      <c r="BA15" s="5">
        <f t="shared" si="20"/>
        <v>6</v>
      </c>
    </row>
    <row r="16" spans="1:53" x14ac:dyDescent="0.25">
      <c r="A16" s="6" t="s">
        <v>46</v>
      </c>
      <c r="B16" s="8">
        <v>27.1</v>
      </c>
      <c r="C16" s="1">
        <v>11</v>
      </c>
      <c r="D16" s="1">
        <v>33</v>
      </c>
      <c r="E16" s="1">
        <v>7</v>
      </c>
      <c r="F16" s="1">
        <v>37</v>
      </c>
      <c r="G16" s="9">
        <v>-10.11</v>
      </c>
      <c r="H16" s="9">
        <v>0.87</v>
      </c>
      <c r="I16" s="9">
        <v>-9.24</v>
      </c>
      <c r="J16" s="9">
        <v>98.3</v>
      </c>
      <c r="K16" s="9">
        <v>111.4</v>
      </c>
      <c r="L16" s="9">
        <v>-13.1</v>
      </c>
      <c r="M16" s="9">
        <v>76.900000000000006</v>
      </c>
      <c r="N16" s="9">
        <v>0.27200000000000002</v>
      </c>
      <c r="O16" s="9">
        <v>0.30399999999999999</v>
      </c>
      <c r="P16" s="9">
        <v>0.505</v>
      </c>
      <c r="Q16" s="1"/>
      <c r="R16" s="9">
        <v>0.45800000000000002</v>
      </c>
      <c r="S16" s="9">
        <v>14.9</v>
      </c>
      <c r="T16" s="9">
        <v>24.4</v>
      </c>
      <c r="U16" s="9">
        <v>0.216</v>
      </c>
      <c r="V16" s="1"/>
      <c r="W16" s="9">
        <v>0.53</v>
      </c>
      <c r="X16" s="9">
        <v>15.4</v>
      </c>
      <c r="Y16" s="9">
        <v>72.599999999999994</v>
      </c>
      <c r="Z16" s="9">
        <v>0.254</v>
      </c>
      <c r="AA16" s="5"/>
      <c r="AB16" s="5"/>
      <c r="AC16" s="5">
        <f t="shared" si="1"/>
        <v>10</v>
      </c>
      <c r="AD16" s="5">
        <f t="shared" si="2"/>
        <v>11</v>
      </c>
      <c r="AE16" s="5">
        <f t="shared" si="3"/>
        <v>11</v>
      </c>
      <c r="AF16" s="5">
        <f t="shared" si="0"/>
        <v>12</v>
      </c>
      <c r="AG16" s="5">
        <f t="shared" si="4"/>
        <v>12</v>
      </c>
      <c r="AH16" s="5">
        <f t="shared" si="5"/>
        <v>13</v>
      </c>
      <c r="AI16" s="5">
        <f t="shared" si="6"/>
        <v>3</v>
      </c>
      <c r="AJ16" s="5">
        <f t="shared" si="7"/>
        <v>13</v>
      </c>
      <c r="AK16" s="5">
        <f t="shared" si="8"/>
        <v>13</v>
      </c>
      <c r="AL16" s="5">
        <f t="shared" si="9"/>
        <v>12</v>
      </c>
      <c r="AM16" s="5">
        <f t="shared" si="10"/>
        <v>12</v>
      </c>
      <c r="AN16" s="5">
        <f t="shared" si="11"/>
        <v>8</v>
      </c>
      <c r="AO16" s="5">
        <f t="shared" si="12"/>
        <v>7</v>
      </c>
      <c r="AP16" s="5">
        <f t="shared" si="13"/>
        <v>11</v>
      </c>
      <c r="AQ16" s="5">
        <f t="shared" si="14"/>
        <v>13</v>
      </c>
      <c r="AR16" s="5"/>
      <c r="AS16" s="5">
        <f t="shared" si="21"/>
        <v>13</v>
      </c>
      <c r="AT16" s="5">
        <f t="shared" si="16"/>
        <v>8</v>
      </c>
      <c r="AU16" s="5">
        <f t="shared" si="22"/>
        <v>7</v>
      </c>
      <c r="AV16" s="5">
        <f t="shared" si="17"/>
        <v>6</v>
      </c>
      <c r="AW16" s="5"/>
      <c r="AX16" s="5">
        <f t="shared" si="18"/>
        <v>12</v>
      </c>
      <c r="AY16" s="5">
        <f t="shared" si="19"/>
        <v>5</v>
      </c>
      <c r="AZ16" s="5">
        <f t="shared" si="19"/>
        <v>13</v>
      </c>
      <c r="BA16" s="5">
        <f t="shared" si="20"/>
        <v>12</v>
      </c>
    </row>
    <row r="17" spans="1:53" x14ac:dyDescent="0.25">
      <c r="A17" s="6"/>
      <c r="B17" s="8"/>
      <c r="C17" s="1"/>
      <c r="D17" s="1"/>
      <c r="E17" s="1"/>
      <c r="F17" s="1"/>
      <c r="G17" s="9"/>
      <c r="H17" s="9"/>
      <c r="I17" s="9"/>
      <c r="J17" s="9"/>
      <c r="K17" s="9"/>
      <c r="L17" s="9"/>
      <c r="M17" s="9"/>
      <c r="N17" s="9"/>
      <c r="O17" s="9"/>
      <c r="P17" s="9"/>
      <c r="Q17" s="1"/>
      <c r="R17" s="9"/>
      <c r="S17" s="9"/>
      <c r="T17" s="9"/>
      <c r="U17" s="9"/>
      <c r="V17" s="1"/>
      <c r="W17" s="9"/>
      <c r="X17" s="9"/>
      <c r="Y17" s="9"/>
      <c r="Z17" s="9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 spans="1:53" x14ac:dyDescent="0.25">
      <c r="A18" s="6"/>
      <c r="B18" s="1"/>
      <c r="C18" s="1"/>
      <c r="D18" s="1"/>
      <c r="E18" s="1"/>
      <c r="F18" s="1"/>
      <c r="G18" s="9"/>
      <c r="H18" s="9"/>
      <c r="I18" s="9"/>
      <c r="J18" s="9"/>
      <c r="K18" s="9"/>
      <c r="L18" s="9"/>
      <c r="M18" s="9"/>
      <c r="N18" s="9"/>
      <c r="O18" s="9"/>
      <c r="P18" s="9"/>
      <c r="Q18" s="1"/>
      <c r="R18" s="9"/>
      <c r="S18" s="9"/>
      <c r="T18" s="9"/>
      <c r="U18" s="9"/>
      <c r="V18" s="1"/>
      <c r="W18" s="9"/>
      <c r="X18" s="9"/>
      <c r="Y18" s="9"/>
      <c r="Z18" s="9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 spans="1:53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9"/>
      <c r="S19" s="9"/>
      <c r="T19" s="9"/>
      <c r="U19" s="9"/>
      <c r="V19" s="1"/>
      <c r="W19" s="1"/>
      <c r="X19" s="1"/>
      <c r="Y19" s="1"/>
      <c r="Z19" s="1"/>
      <c r="AA19" s="5"/>
      <c r="AB19" s="5"/>
    </row>
    <row r="20" spans="1:53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5"/>
      <c r="AB20" s="5"/>
    </row>
    <row r="21" spans="1:53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5"/>
      <c r="AB21" s="5"/>
    </row>
    <row r="22" spans="1:53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5"/>
      <c r="AB22" s="5"/>
    </row>
    <row r="23" spans="1:53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5"/>
      <c r="AB23" s="5"/>
    </row>
    <row r="24" spans="1:53" ht="15.75" customHeight="1" x14ac:dyDescent="0.25">
      <c r="A24" s="6" t="s">
        <v>41</v>
      </c>
      <c r="B24" s="9">
        <f>AVERAGE(B4:B22)</f>
        <v>27.876923076923074</v>
      </c>
      <c r="C24" s="9">
        <f t="shared" ref="C24:Z24" si="23">AVERAGE(C4:C22)</f>
        <v>22</v>
      </c>
      <c r="D24" s="9">
        <f t="shared" si="23"/>
        <v>22</v>
      </c>
      <c r="E24" s="9">
        <f t="shared" si="23"/>
        <v>22.384615384615383</v>
      </c>
      <c r="F24" s="9">
        <f t="shared" si="23"/>
        <v>21.615384615384617</v>
      </c>
      <c r="G24" s="9">
        <f t="shared" si="23"/>
        <v>0</v>
      </c>
      <c r="H24" s="9">
        <f t="shared" si="23"/>
        <v>7.6923076923075286E-4</v>
      </c>
      <c r="I24" s="9">
        <f t="shared" si="23"/>
        <v>-7.6923076923088947E-4</v>
      </c>
      <c r="J24" s="9">
        <f t="shared" si="23"/>
        <v>105.36923076923077</v>
      </c>
      <c r="K24" s="9">
        <f t="shared" si="23"/>
        <v>105.34615384615387</v>
      </c>
      <c r="L24" s="9">
        <f t="shared" si="23"/>
        <v>2.3076923076922586E-2</v>
      </c>
      <c r="M24" s="9">
        <f t="shared" si="23"/>
        <v>77.315384615384616</v>
      </c>
      <c r="N24" s="9">
        <f t="shared" si="23"/>
        <v>0.27076923076923076</v>
      </c>
      <c r="O24" s="9">
        <f t="shared" si="23"/>
        <v>0.35961538461538467</v>
      </c>
      <c r="P24" s="9">
        <f t="shared" si="23"/>
        <v>0.54207692307692312</v>
      </c>
      <c r="Q24" s="9"/>
      <c r="R24" s="9">
        <f t="shared" si="23"/>
        <v>0.50007692307692309</v>
      </c>
      <c r="S24" s="9">
        <f t="shared" si="23"/>
        <v>14.623076923076924</v>
      </c>
      <c r="T24" s="9">
        <f t="shared" si="23"/>
        <v>24.784615384615385</v>
      </c>
      <c r="U24" s="9">
        <f t="shared" si="23"/>
        <v>0.21307692307692308</v>
      </c>
      <c r="V24" s="9"/>
      <c r="W24" s="9">
        <f t="shared" si="23"/>
        <v>0.5</v>
      </c>
      <c r="X24" s="9">
        <f t="shared" si="23"/>
        <v>14.600000000000001</v>
      </c>
      <c r="Y24" s="9">
        <f t="shared" si="23"/>
        <v>75.200000000000017</v>
      </c>
      <c r="Z24" s="9">
        <f t="shared" si="23"/>
        <v>0.21315384615384614</v>
      </c>
      <c r="AA24" s="5"/>
      <c r="AB24" s="5"/>
    </row>
    <row r="25" spans="1:53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5"/>
      <c r="AB25" s="5"/>
    </row>
    <row r="26" spans="1:53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5"/>
      <c r="AB26" s="5"/>
    </row>
    <row r="27" spans="1:53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5"/>
      <c r="AB27" s="5"/>
    </row>
    <row r="28" spans="1:53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5"/>
      <c r="AB28" s="5"/>
    </row>
    <row r="29" spans="1:53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5"/>
      <c r="AB29" s="5"/>
    </row>
    <row r="30" spans="1:53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5"/>
      <c r="AB30" s="5"/>
    </row>
    <row r="31" spans="1:53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5"/>
      <c r="AB31" s="5"/>
    </row>
    <row r="32" spans="1:53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5"/>
      <c r="AB32" s="5"/>
    </row>
    <row r="33" spans="1:28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5"/>
      <c r="AB33" s="5"/>
    </row>
    <row r="34" spans="1:28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5"/>
      <c r="AB34" s="5"/>
    </row>
    <row r="35" spans="1:28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5"/>
      <c r="AB35" s="5"/>
    </row>
    <row r="36" spans="1:28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5"/>
      <c r="AB36" s="5"/>
    </row>
    <row r="37" spans="1:28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5"/>
      <c r="AB37" s="5"/>
    </row>
    <row r="38" spans="1:28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5"/>
      <c r="AB38" s="5"/>
    </row>
    <row r="39" spans="1:28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5"/>
      <c r="AB39" s="5"/>
    </row>
    <row r="40" spans="1:28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5"/>
      <c r="AB40" s="5"/>
    </row>
    <row r="41" spans="1:28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5"/>
      <c r="AB41" s="5"/>
    </row>
    <row r="42" spans="1:28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5"/>
      <c r="AB42" s="5"/>
    </row>
    <row r="43" spans="1:28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5"/>
      <c r="AB43" s="5"/>
    </row>
    <row r="44" spans="1:28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5"/>
      <c r="AB44" s="5"/>
    </row>
    <row r="45" spans="1:28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5"/>
      <c r="AB45" s="5"/>
    </row>
    <row r="46" spans="1:28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5"/>
      <c r="AB46" s="5"/>
    </row>
    <row r="47" spans="1:28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5"/>
      <c r="AB47" s="5"/>
    </row>
    <row r="48" spans="1:28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5"/>
      <c r="AB48" s="5"/>
    </row>
    <row r="49" spans="1:28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5"/>
      <c r="AB49" s="5"/>
    </row>
    <row r="50" spans="1:28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5"/>
      <c r="AB50" s="5"/>
    </row>
    <row r="51" spans="1:28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5"/>
      <c r="AB51" s="5"/>
    </row>
    <row r="52" spans="1:28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5"/>
      <c r="AB52" s="5"/>
    </row>
    <row r="53" spans="1:28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5"/>
      <c r="AB53" s="5"/>
    </row>
    <row r="54" spans="1:28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5"/>
      <c r="AB54" s="5"/>
    </row>
    <row r="55" spans="1:28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5"/>
      <c r="AB55" s="5"/>
    </row>
    <row r="56" spans="1:28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5"/>
      <c r="AB56" s="5"/>
    </row>
    <row r="57" spans="1:28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5"/>
      <c r="AB57" s="5"/>
    </row>
    <row r="58" spans="1:28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5"/>
      <c r="AB58" s="5"/>
    </row>
    <row r="59" spans="1:28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5"/>
      <c r="AB59" s="5"/>
    </row>
    <row r="60" spans="1:28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5"/>
      <c r="AB60" s="5"/>
    </row>
    <row r="61" spans="1:28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5"/>
      <c r="AB61" s="5"/>
    </row>
    <row r="62" spans="1:28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5"/>
      <c r="AB62" s="5"/>
    </row>
    <row r="63" spans="1:28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5"/>
      <c r="AB63" s="5"/>
    </row>
    <row r="64" spans="1:28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5"/>
      <c r="AB64" s="5"/>
    </row>
    <row r="65" spans="1:28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5"/>
      <c r="AB65" s="5"/>
    </row>
    <row r="66" spans="1:28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5"/>
      <c r="AB66" s="5"/>
    </row>
    <row r="67" spans="1:28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5"/>
      <c r="AB67" s="5"/>
    </row>
    <row r="68" spans="1:28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5"/>
      <c r="AB68" s="5"/>
    </row>
    <row r="69" spans="1:28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5"/>
      <c r="AB69" s="5"/>
    </row>
    <row r="70" spans="1:28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5"/>
      <c r="AB70" s="5"/>
    </row>
    <row r="71" spans="1:28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5"/>
      <c r="AB71" s="5"/>
    </row>
    <row r="72" spans="1:28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5"/>
      <c r="AB72" s="5"/>
    </row>
    <row r="73" spans="1:28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5"/>
      <c r="AB73" s="5"/>
    </row>
    <row r="74" spans="1:28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5"/>
      <c r="AB74" s="5"/>
    </row>
    <row r="75" spans="1:28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5"/>
      <c r="AB75" s="5"/>
    </row>
    <row r="76" spans="1:28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5"/>
      <c r="AB76" s="5"/>
    </row>
    <row r="77" spans="1:28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5"/>
      <c r="AB77" s="5"/>
    </row>
    <row r="78" spans="1:28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5"/>
      <c r="AB78" s="5"/>
    </row>
    <row r="79" spans="1:28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5"/>
      <c r="AB79" s="5"/>
    </row>
    <row r="80" spans="1:28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5"/>
      <c r="AB80" s="5"/>
    </row>
    <row r="81" spans="1:28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5"/>
      <c r="AB81" s="5"/>
    </row>
    <row r="82" spans="1:28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5"/>
      <c r="AB82" s="5"/>
    </row>
    <row r="83" spans="1:28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5"/>
      <c r="AB83" s="5"/>
    </row>
    <row r="84" spans="1:28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5"/>
      <c r="AB84" s="5"/>
    </row>
    <row r="85" spans="1:28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5"/>
      <c r="AB85" s="5"/>
    </row>
    <row r="86" spans="1:28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5"/>
      <c r="AB86" s="5"/>
    </row>
    <row r="87" spans="1:28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5"/>
      <c r="AB87" s="5"/>
    </row>
    <row r="88" spans="1:28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5"/>
      <c r="AB88" s="5"/>
    </row>
    <row r="89" spans="1:28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5"/>
      <c r="AB89" s="5"/>
    </row>
    <row r="90" spans="1:28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5"/>
      <c r="AB90" s="5"/>
    </row>
    <row r="91" spans="1:28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5"/>
      <c r="AB91" s="5"/>
    </row>
    <row r="92" spans="1:28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5"/>
      <c r="AB92" s="5"/>
    </row>
    <row r="93" spans="1:28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5"/>
      <c r="AB93" s="5"/>
    </row>
    <row r="94" spans="1:28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5"/>
      <c r="AB94" s="5"/>
    </row>
    <row r="95" spans="1:28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5"/>
      <c r="AB95" s="5"/>
    </row>
    <row r="96" spans="1:28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5"/>
      <c r="AB96" s="5"/>
    </row>
    <row r="97" spans="1:28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5"/>
      <c r="AB97" s="5"/>
    </row>
    <row r="98" spans="1:28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5"/>
      <c r="AB98" s="5"/>
    </row>
    <row r="99" spans="1:28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5"/>
      <c r="AB99" s="5"/>
    </row>
    <row r="100" spans="1:28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5"/>
      <c r="AB100" s="5"/>
    </row>
    <row r="101" spans="1:28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5"/>
      <c r="AB101" s="5"/>
    </row>
    <row r="102" spans="1:28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5"/>
      <c r="AB102" s="5"/>
    </row>
    <row r="103" spans="1:28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5"/>
      <c r="AB103" s="5"/>
    </row>
    <row r="104" spans="1:28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5"/>
      <c r="AB104" s="5"/>
    </row>
    <row r="105" spans="1:28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5"/>
      <c r="AB105" s="5"/>
    </row>
    <row r="106" spans="1:28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5"/>
      <c r="AB106" s="5"/>
    </row>
    <row r="107" spans="1:28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5"/>
      <c r="AB107" s="5"/>
    </row>
    <row r="108" spans="1:28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5"/>
      <c r="AB108" s="5"/>
    </row>
    <row r="109" spans="1:28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5"/>
      <c r="AB109" s="5"/>
    </row>
    <row r="110" spans="1:28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5"/>
      <c r="AB110" s="5"/>
    </row>
    <row r="111" spans="1:28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5"/>
      <c r="AB111" s="5"/>
    </row>
    <row r="112" spans="1:28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5"/>
      <c r="AB112" s="5"/>
    </row>
    <row r="113" spans="1:28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5"/>
      <c r="AB113" s="5"/>
    </row>
    <row r="114" spans="1:28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5"/>
      <c r="AB114" s="5"/>
    </row>
    <row r="115" spans="1:28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5"/>
      <c r="AB115" s="5"/>
    </row>
    <row r="116" spans="1:28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5"/>
      <c r="AB116" s="5"/>
    </row>
    <row r="117" spans="1:28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5"/>
      <c r="AB117" s="5"/>
    </row>
    <row r="118" spans="1:28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5"/>
      <c r="AB118" s="5"/>
    </row>
    <row r="119" spans="1:28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5"/>
      <c r="AB119" s="5"/>
    </row>
    <row r="120" spans="1:28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5"/>
      <c r="AB120" s="5"/>
    </row>
    <row r="121" spans="1:28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5"/>
      <c r="AB121" s="5"/>
    </row>
    <row r="122" spans="1:28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5"/>
      <c r="AB122" s="5"/>
    </row>
    <row r="123" spans="1:28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5"/>
      <c r="AB123" s="5"/>
    </row>
    <row r="124" spans="1:28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5"/>
      <c r="AB124" s="5"/>
    </row>
    <row r="125" spans="1:28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5"/>
      <c r="AB125" s="5"/>
    </row>
    <row r="126" spans="1:28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5"/>
      <c r="AB126" s="5"/>
    </row>
    <row r="127" spans="1:28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5"/>
      <c r="AB127" s="5"/>
    </row>
    <row r="128" spans="1:28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5"/>
      <c r="AB128" s="5"/>
    </row>
    <row r="129" spans="1:28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5"/>
      <c r="AB129" s="5"/>
    </row>
    <row r="130" spans="1:28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5"/>
      <c r="AB130" s="5"/>
    </row>
    <row r="131" spans="1:28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5"/>
      <c r="AB131" s="5"/>
    </row>
    <row r="132" spans="1:28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5"/>
      <c r="AB132" s="5"/>
    </row>
    <row r="133" spans="1:28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5"/>
      <c r="AB133" s="5"/>
    </row>
    <row r="134" spans="1:28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5"/>
      <c r="AB134" s="5"/>
    </row>
    <row r="135" spans="1:28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5"/>
      <c r="AB135" s="5"/>
    </row>
    <row r="136" spans="1:28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5"/>
      <c r="AB136" s="5"/>
    </row>
    <row r="137" spans="1:28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5"/>
      <c r="AB137" s="5"/>
    </row>
    <row r="138" spans="1:28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5"/>
      <c r="AB138" s="5"/>
    </row>
    <row r="139" spans="1:28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5"/>
      <c r="AB139" s="5"/>
    </row>
    <row r="140" spans="1:28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5"/>
      <c r="AB140" s="5"/>
    </row>
    <row r="141" spans="1:28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5"/>
      <c r="AB141" s="5"/>
    </row>
    <row r="142" spans="1:28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5"/>
      <c r="AB142" s="5"/>
    </row>
    <row r="143" spans="1:28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5"/>
      <c r="AB143" s="5"/>
    </row>
    <row r="144" spans="1:28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5"/>
      <c r="AB144" s="5"/>
    </row>
    <row r="145" spans="1:28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5"/>
      <c r="AB145" s="5"/>
    </row>
    <row r="146" spans="1:28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5"/>
      <c r="AB146" s="5"/>
    </row>
    <row r="147" spans="1:28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5"/>
      <c r="AB147" s="5"/>
    </row>
    <row r="148" spans="1:28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5"/>
      <c r="AB148" s="5"/>
    </row>
    <row r="149" spans="1:28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5"/>
      <c r="AB149" s="5"/>
    </row>
    <row r="150" spans="1:28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5"/>
      <c r="AB150" s="5"/>
    </row>
    <row r="151" spans="1:28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5"/>
      <c r="AB151" s="5"/>
    </row>
    <row r="152" spans="1:28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5"/>
      <c r="AB152" s="5"/>
    </row>
    <row r="153" spans="1:28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5"/>
      <c r="AB153" s="5"/>
    </row>
    <row r="154" spans="1:28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5"/>
      <c r="AB154" s="5"/>
    </row>
    <row r="155" spans="1:28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5"/>
      <c r="AB155" s="5"/>
    </row>
    <row r="156" spans="1:28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5"/>
      <c r="AB156" s="5"/>
    </row>
    <row r="157" spans="1:28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5"/>
      <c r="AB157" s="5"/>
    </row>
    <row r="158" spans="1:28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5"/>
      <c r="AB158" s="5"/>
    </row>
    <row r="159" spans="1:28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5"/>
      <c r="AB159" s="5"/>
    </row>
    <row r="160" spans="1:28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5"/>
      <c r="AB160" s="5"/>
    </row>
    <row r="161" spans="1:28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5"/>
      <c r="AB161" s="5"/>
    </row>
    <row r="162" spans="1:28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5"/>
      <c r="AB162" s="5"/>
    </row>
    <row r="163" spans="1:28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5"/>
      <c r="AB163" s="5"/>
    </row>
    <row r="164" spans="1:28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5"/>
      <c r="AB164" s="5"/>
    </row>
    <row r="165" spans="1:28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5"/>
      <c r="AB165" s="5"/>
    </row>
    <row r="166" spans="1:28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5"/>
      <c r="AB166" s="5"/>
    </row>
    <row r="167" spans="1:28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5"/>
      <c r="AB167" s="5"/>
    </row>
    <row r="168" spans="1:28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5"/>
      <c r="AB168" s="5"/>
    </row>
    <row r="169" spans="1:28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5"/>
      <c r="AB169" s="5"/>
    </row>
    <row r="170" spans="1:28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5"/>
      <c r="AB170" s="5"/>
    </row>
    <row r="171" spans="1:28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5"/>
      <c r="AB171" s="5"/>
    </row>
    <row r="172" spans="1:28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5"/>
      <c r="AB172" s="5"/>
    </row>
    <row r="173" spans="1:28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5"/>
      <c r="AB173" s="5"/>
    </row>
    <row r="174" spans="1:28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5"/>
      <c r="AB174" s="5"/>
    </row>
    <row r="175" spans="1:28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5"/>
      <c r="AB175" s="5"/>
    </row>
    <row r="176" spans="1:28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5"/>
      <c r="AB176" s="5"/>
    </row>
    <row r="177" spans="1:28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5"/>
      <c r="AB177" s="5"/>
    </row>
    <row r="178" spans="1:28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5"/>
      <c r="AB178" s="5"/>
    </row>
    <row r="179" spans="1:28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5"/>
      <c r="AB179" s="5"/>
    </row>
    <row r="180" spans="1:28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5"/>
      <c r="AB180" s="5"/>
    </row>
    <row r="181" spans="1:28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5"/>
      <c r="AB181" s="5"/>
    </row>
    <row r="182" spans="1:28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5"/>
      <c r="AB182" s="5"/>
    </row>
    <row r="183" spans="1:28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5"/>
      <c r="AB183" s="5"/>
    </row>
    <row r="184" spans="1:28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5"/>
      <c r="AB184" s="5"/>
    </row>
    <row r="185" spans="1:28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5"/>
      <c r="AB185" s="5"/>
    </row>
    <row r="186" spans="1:28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5"/>
      <c r="AB186" s="5"/>
    </row>
    <row r="187" spans="1:28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5"/>
      <c r="AB187" s="5"/>
    </row>
    <row r="188" spans="1:28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5"/>
      <c r="AB188" s="5"/>
    </row>
    <row r="189" spans="1:28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5"/>
      <c r="AB189" s="5"/>
    </row>
    <row r="190" spans="1:28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5"/>
      <c r="AB190" s="5"/>
    </row>
    <row r="191" spans="1:28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5"/>
      <c r="AB191" s="5"/>
    </row>
    <row r="192" spans="1:28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5"/>
      <c r="AB192" s="5"/>
    </row>
    <row r="193" spans="1:28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5"/>
      <c r="AB193" s="5"/>
    </row>
    <row r="194" spans="1:28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5"/>
      <c r="AB194" s="5"/>
    </row>
    <row r="195" spans="1:28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5"/>
      <c r="AB195" s="5"/>
    </row>
    <row r="196" spans="1:28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5"/>
      <c r="AB196" s="5"/>
    </row>
    <row r="197" spans="1:28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5"/>
      <c r="AB197" s="5"/>
    </row>
    <row r="198" spans="1:28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5"/>
      <c r="AB198" s="5"/>
    </row>
    <row r="199" spans="1:28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5"/>
      <c r="AB199" s="5"/>
    </row>
    <row r="200" spans="1:28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  <c r="AA200" s="5"/>
      <c r="AB200" s="5"/>
    </row>
    <row r="201" spans="1:28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  <c r="AA201" s="5"/>
      <c r="AB201" s="5"/>
    </row>
    <row r="202" spans="1:28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  <c r="AA202" s="5"/>
      <c r="AB202" s="5"/>
    </row>
    <row r="203" spans="1:28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  <c r="AA203" s="5"/>
      <c r="AB203" s="5"/>
    </row>
    <row r="204" spans="1:28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  <c r="AA204" s="5"/>
      <c r="AB204" s="5"/>
    </row>
    <row r="205" spans="1:28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  <c r="AA205" s="5"/>
      <c r="AB205" s="5"/>
    </row>
    <row r="206" spans="1:28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  <c r="AA206" s="5"/>
      <c r="AB206" s="5"/>
    </row>
    <row r="207" spans="1:28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  <c r="AA207" s="5"/>
      <c r="AB207" s="5"/>
    </row>
    <row r="208" spans="1:28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  <c r="AA208" s="5"/>
      <c r="AB208" s="5"/>
    </row>
    <row r="209" spans="1:28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  <c r="AA209" s="5"/>
      <c r="AB209" s="5"/>
    </row>
    <row r="210" spans="1:28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  <c r="AA210" s="5"/>
      <c r="AB210" s="5"/>
    </row>
    <row r="211" spans="1:28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  <c r="AA211" s="5"/>
      <c r="AB211" s="5"/>
    </row>
    <row r="212" spans="1:28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  <c r="AA212" s="5"/>
      <c r="AB212" s="5"/>
    </row>
    <row r="213" spans="1:28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  <c r="AA213" s="5"/>
      <c r="AB213" s="5"/>
    </row>
    <row r="214" spans="1:28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  <c r="AA214" s="5"/>
      <c r="AB214" s="5"/>
    </row>
    <row r="215" spans="1:28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  <c r="AA215" s="5"/>
      <c r="AB215" s="5"/>
    </row>
    <row r="216" spans="1:28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  <c r="AA216" s="5"/>
      <c r="AB216" s="5"/>
    </row>
    <row r="217" spans="1:28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  <c r="AA217" s="5"/>
      <c r="AB217" s="5"/>
    </row>
    <row r="218" spans="1:28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  <c r="AA218" s="5"/>
      <c r="AB218" s="5"/>
    </row>
    <row r="219" spans="1:28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  <c r="AA219" s="5"/>
      <c r="AB219" s="5"/>
    </row>
    <row r="220" spans="1:28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  <c r="AA220" s="5"/>
      <c r="AB220" s="5"/>
    </row>
    <row r="221" spans="1:28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  <c r="AA221" s="5"/>
      <c r="AB221" s="5"/>
    </row>
    <row r="222" spans="1:28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  <c r="AA222" s="5"/>
      <c r="AB222" s="5"/>
    </row>
    <row r="223" spans="1:28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  <c r="AA223" s="5"/>
      <c r="AB223" s="5"/>
    </row>
    <row r="224" spans="1:28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  <c r="AA224" s="5"/>
      <c r="AB224" s="5"/>
    </row>
    <row r="225" spans="1:28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  <c r="AA225" s="5"/>
      <c r="AB225" s="5"/>
    </row>
    <row r="226" spans="1:28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  <c r="AA226" s="5"/>
      <c r="AB226" s="5"/>
    </row>
    <row r="227" spans="1:28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  <c r="AA227" s="5"/>
      <c r="AB227" s="5"/>
    </row>
    <row r="228" spans="1:28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  <c r="AA228" s="5"/>
      <c r="AB228" s="5"/>
    </row>
    <row r="229" spans="1:28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  <c r="AA229" s="5"/>
      <c r="AB229" s="5"/>
    </row>
    <row r="230" spans="1:28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  <c r="AA230" s="5"/>
      <c r="AB230" s="5"/>
    </row>
    <row r="231" spans="1:28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  <c r="AA231" s="5"/>
      <c r="AB231" s="5"/>
    </row>
    <row r="232" spans="1:28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  <c r="AA232" s="5"/>
      <c r="AB232" s="5"/>
    </row>
    <row r="233" spans="1:28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  <c r="AA233" s="5"/>
      <c r="AB233" s="5"/>
    </row>
    <row r="234" spans="1:28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  <c r="AA234" s="5"/>
      <c r="AB234" s="5"/>
    </row>
    <row r="235" spans="1:28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  <c r="AA235" s="5"/>
      <c r="AB235" s="5"/>
    </row>
    <row r="236" spans="1:28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  <c r="AA236" s="5"/>
      <c r="AB236" s="5"/>
    </row>
    <row r="237" spans="1:28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  <c r="AA237" s="5"/>
      <c r="AB237" s="5"/>
    </row>
    <row r="238" spans="1:28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  <c r="AA238" s="5"/>
      <c r="AB238" s="5"/>
    </row>
    <row r="239" spans="1:28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  <c r="AA239" s="5"/>
      <c r="AB239" s="5"/>
    </row>
    <row r="240" spans="1:28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  <c r="AA240" s="5"/>
      <c r="AB240" s="5"/>
    </row>
    <row r="241" spans="1:28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  <c r="AA241" s="5"/>
      <c r="AB241" s="5"/>
    </row>
    <row r="242" spans="1:28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  <c r="AA242" s="5"/>
      <c r="AB242" s="5"/>
    </row>
    <row r="243" spans="1:28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  <c r="AA243" s="5"/>
      <c r="AB243" s="5"/>
    </row>
    <row r="244" spans="1:28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  <c r="AA244" s="5"/>
      <c r="AB244" s="5"/>
    </row>
    <row r="245" spans="1:28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  <c r="AA245" s="5"/>
      <c r="AB245" s="5"/>
    </row>
    <row r="246" spans="1:28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  <c r="AA246" s="5"/>
      <c r="AB246" s="5"/>
    </row>
    <row r="247" spans="1:28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  <c r="AA247" s="5"/>
      <c r="AB247" s="5"/>
    </row>
    <row r="248" spans="1:28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  <c r="AA248" s="5"/>
      <c r="AB248" s="5"/>
    </row>
    <row r="249" spans="1:28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  <c r="AA249" s="5"/>
      <c r="AB249" s="5"/>
    </row>
    <row r="250" spans="1:28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  <c r="AA250" s="5"/>
      <c r="AB250" s="5"/>
    </row>
    <row r="251" spans="1:28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  <c r="AA251" s="5"/>
      <c r="AB251" s="5"/>
    </row>
    <row r="252" spans="1:28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  <c r="AA252" s="5"/>
      <c r="AB252" s="5"/>
    </row>
    <row r="253" spans="1:28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  <c r="AA253" s="5"/>
      <c r="AB253" s="5"/>
    </row>
    <row r="254" spans="1:28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  <c r="AA254" s="5"/>
      <c r="AB254" s="5"/>
    </row>
    <row r="255" spans="1:28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  <c r="AA255" s="5"/>
      <c r="AB255" s="5"/>
    </row>
    <row r="256" spans="1:28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  <c r="AA256" s="5"/>
      <c r="AB256" s="5"/>
    </row>
    <row r="257" spans="1:28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  <c r="AA257" s="5"/>
      <c r="AB257" s="5"/>
    </row>
    <row r="258" spans="1:28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  <c r="AA258" s="5"/>
      <c r="AB258" s="5"/>
    </row>
    <row r="259" spans="1:28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  <c r="AA259" s="5"/>
      <c r="AB259" s="5"/>
    </row>
    <row r="260" spans="1:28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  <c r="AA260" s="5"/>
      <c r="AB260" s="5"/>
    </row>
    <row r="261" spans="1:28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  <c r="AA261" s="5"/>
      <c r="AB261" s="5"/>
    </row>
    <row r="262" spans="1:28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  <c r="AA262" s="5"/>
      <c r="AB262" s="5"/>
    </row>
    <row r="263" spans="1:28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  <c r="AA263" s="5"/>
      <c r="AB263" s="5"/>
    </row>
    <row r="264" spans="1:28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  <c r="AA264" s="5"/>
      <c r="AB264" s="5"/>
    </row>
    <row r="265" spans="1:28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  <c r="AA265" s="5"/>
      <c r="AB265" s="5"/>
    </row>
    <row r="266" spans="1:28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  <c r="AA266" s="5"/>
      <c r="AB266" s="5"/>
    </row>
    <row r="267" spans="1:28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  <c r="AA267" s="5"/>
      <c r="AB267" s="5"/>
    </row>
    <row r="268" spans="1:28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  <c r="AA268" s="5"/>
      <c r="AB268" s="5"/>
    </row>
    <row r="269" spans="1:28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  <c r="AA269" s="5"/>
      <c r="AB269" s="5"/>
    </row>
    <row r="270" spans="1:28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  <c r="AA270" s="5"/>
      <c r="AB270" s="5"/>
    </row>
    <row r="271" spans="1:28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  <c r="AA271" s="5"/>
      <c r="AB271" s="5"/>
    </row>
    <row r="272" spans="1:28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  <c r="AA272" s="5"/>
      <c r="AB272" s="5"/>
    </row>
    <row r="273" spans="1:28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  <c r="AA273" s="5"/>
      <c r="AB273" s="5"/>
    </row>
    <row r="274" spans="1:28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  <c r="AA274" s="5"/>
      <c r="AB274" s="5"/>
    </row>
    <row r="275" spans="1:28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  <c r="AA275" s="5"/>
      <c r="AB275" s="5"/>
    </row>
    <row r="276" spans="1:28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  <c r="AA276" s="5"/>
      <c r="AB276" s="5"/>
    </row>
    <row r="277" spans="1:28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  <c r="AA277" s="5"/>
      <c r="AB277" s="5"/>
    </row>
    <row r="278" spans="1:28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  <c r="AA278" s="5"/>
      <c r="AB278" s="5"/>
    </row>
    <row r="279" spans="1:28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  <c r="AA279" s="5"/>
      <c r="AB279" s="5"/>
    </row>
    <row r="280" spans="1:28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  <c r="AA280" s="5"/>
      <c r="AB280" s="5"/>
    </row>
    <row r="281" spans="1:28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  <c r="AA281" s="5"/>
      <c r="AB281" s="5"/>
    </row>
    <row r="282" spans="1:28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  <c r="AA282" s="5"/>
      <c r="AB282" s="5"/>
    </row>
    <row r="283" spans="1:28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  <c r="AA283" s="5"/>
      <c r="AB283" s="5"/>
    </row>
    <row r="284" spans="1:28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  <c r="AA284" s="5"/>
      <c r="AB284" s="5"/>
    </row>
    <row r="285" spans="1:28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  <c r="AA285" s="5"/>
      <c r="AB285" s="5"/>
    </row>
    <row r="286" spans="1:28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  <c r="AA286" s="5"/>
      <c r="AB286" s="5"/>
    </row>
    <row r="287" spans="1:28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  <c r="AA287" s="5"/>
      <c r="AB287" s="5"/>
    </row>
    <row r="288" spans="1:28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  <c r="AA288" s="5"/>
      <c r="AB288" s="5"/>
    </row>
    <row r="289" spans="1:28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  <c r="AA289" s="5"/>
      <c r="AB289" s="5"/>
    </row>
    <row r="290" spans="1:28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  <c r="AA290" s="5"/>
      <c r="AB290" s="5"/>
    </row>
    <row r="291" spans="1:28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  <c r="AA291" s="5"/>
      <c r="AB291" s="5"/>
    </row>
    <row r="292" spans="1:28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  <c r="AA292" s="5"/>
      <c r="AB292" s="5"/>
    </row>
    <row r="293" spans="1:28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  <c r="AA293" s="5"/>
      <c r="AB293" s="5"/>
    </row>
    <row r="294" spans="1:28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  <c r="AA294" s="5"/>
      <c r="AB294" s="5"/>
    </row>
    <row r="295" spans="1:28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  <c r="AA295" s="5"/>
      <c r="AB295" s="5"/>
    </row>
    <row r="296" spans="1:28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  <c r="AA296" s="5"/>
      <c r="AB296" s="5"/>
    </row>
    <row r="297" spans="1:28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  <c r="AA297" s="5"/>
      <c r="AB297" s="5"/>
    </row>
    <row r="298" spans="1:28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  <c r="AA298" s="5"/>
      <c r="AB298" s="5"/>
    </row>
    <row r="299" spans="1:28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  <c r="AA299" s="5"/>
      <c r="AB299" s="5"/>
    </row>
    <row r="300" spans="1:28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 spans="1:28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 spans="1:28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8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8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 spans="1:26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 spans="1:26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 spans="1:26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 spans="1:26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 spans="1:26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 spans="1:26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 spans="1:26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 spans="1:26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 spans="1:26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 spans="1:26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 spans="1:26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 spans="1:26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 spans="1:26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 spans="1:26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 spans="1:26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 spans="1:26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 spans="1:26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 spans="1:26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 spans="1:26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 spans="1:26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 spans="1:26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 spans="1:26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 spans="1:26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 spans="1:26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 spans="1:26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 spans="1:26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 spans="1:26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 spans="1:26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 spans="1:26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 spans="1:26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 spans="1:26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 spans="1:26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 spans="1:26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 spans="1:26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 spans="1:26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 spans="1:26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 spans="1:26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 spans="1:26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 spans="1:26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 spans="1:26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 spans="1:26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 spans="1:26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 spans="1:26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 spans="1:26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 spans="1:26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 spans="1:26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 spans="1:26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 spans="1:26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 spans="1:26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 spans="1:26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 spans="1:26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 spans="1:26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 spans="1:26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 spans="1:26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 spans="1:26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 spans="1:26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 spans="1:26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 spans="1:26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 spans="1:26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 spans="1:26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 spans="1:26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 spans="1:26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 spans="1:26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 spans="1:26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 spans="1:26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 spans="1:26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 spans="1:26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 spans="1:26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 spans="1:26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 spans="1:26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 spans="1:26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 spans="1:26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 spans="1:26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 spans="1:26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 spans="1:26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 spans="1:26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 spans="1:26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 spans="1:26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 spans="1:26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 spans="1:26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 spans="1:26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 spans="1:26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 spans="1:26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 spans="1:26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 spans="1:26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 spans="1:26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 spans="1:26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 spans="1:26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 spans="1:26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 spans="1:26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 spans="1:26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 spans="1:26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 spans="1:26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 spans="1:26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 spans="1:26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 spans="1:26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 spans="1:26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 spans="1:26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 spans="1:26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 spans="1:26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 spans="1:26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 spans="1:26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 spans="1:26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 spans="1:26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 spans="1:26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 spans="1:26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 spans="1:26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 spans="1:26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 spans="1:26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 spans="1:26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 spans="1:26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 spans="1:26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 spans="1:26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 spans="1:26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 spans="1:26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 spans="1:26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 spans="1:26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 spans="1:26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 spans="1:26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 spans="1:26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 spans="1:26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 spans="1:26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 spans="1:26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 spans="1:26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 spans="1:26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 spans="1:26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 spans="1:26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 spans="1:26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 spans="1:26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 spans="1:26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 spans="1:26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 spans="1:26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 spans="1:26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 spans="1:26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 spans="1:26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 spans="1:26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 spans="1:26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 spans="1:26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 spans="1:26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 spans="1:26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 spans="1:26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 spans="1:26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 spans="1:26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 spans="1:26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 spans="1:26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 spans="1:26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 spans="1:26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 spans="1:26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 spans="1:26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 spans="1:26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 spans="1:26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 spans="1:26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 spans="1:26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 spans="1:26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 spans="1:26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 spans="1:26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 spans="1:26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 spans="1:26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 spans="1:26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 spans="1:26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 spans="1:26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 spans="1:26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 spans="1:26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 spans="1:26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 spans="1:26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 spans="1:26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 spans="1:26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 spans="1:26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 spans="1:26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 spans="1:26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 spans="1:26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 spans="1:26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 spans="1:26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 spans="1:26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 spans="1:26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 spans="1:26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 spans="1:26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 spans="1:26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 spans="1:26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 spans="1:26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 spans="1:26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 spans="1:26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 spans="1:26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 spans="1:26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 spans="1:26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 spans="1:26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 spans="1:26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 spans="1:26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 spans="1:26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 spans="1:26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 spans="1:26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 spans="1:26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 spans="1:26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 spans="1:26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 spans="1:26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 spans="1:26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 spans="1:26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 spans="1:26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 spans="1:26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 spans="1:26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 spans="1:26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 spans="1:26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 spans="1:26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 spans="1:26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 spans="1:26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 spans="1:26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 spans="1:26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 spans="1:26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 spans="1:26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 spans="1:26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 spans="1:26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 spans="1:26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 spans="1:26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 spans="1:26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 spans="1:26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 spans="1:26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 spans="1:26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 spans="1:26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 spans="1:26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 spans="1:26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 spans="1:26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 spans="1:26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 spans="1:26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 spans="1:26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 spans="1:26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 spans="1:26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 spans="1:26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 spans="1:26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 spans="1:26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 spans="1:26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 spans="1:26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 spans="1:26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 spans="1:26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 spans="1:26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 spans="1:26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 spans="1:26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 spans="1:26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 spans="1:26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 spans="1:26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 spans="1:26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 spans="1:26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 spans="1:26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 spans="1:26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 spans="1:26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 spans="1:26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 spans="1:26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 spans="1:26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 spans="1:26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 spans="1:26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 spans="1:26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 spans="1:26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 spans="1:26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 spans="1:26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 spans="1:26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 spans="1:26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 spans="1:26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 spans="1:26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 spans="1:26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 spans="1:26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 spans="1:26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 spans="1:26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 spans="1:26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 spans="1:26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 spans="1:26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 spans="1:26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 spans="1:26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 spans="1:26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 spans="1:26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 spans="1:26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 spans="1:26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 spans="1:26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 spans="1:26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 spans="1:26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 spans="1:26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 spans="1:26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 spans="1:26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 spans="1:26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 spans="1:26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 spans="1:26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 spans="1:26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 spans="1:26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 spans="1:26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 spans="1:26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 spans="1:26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 spans="1:26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 spans="1:26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 spans="1:26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 spans="1:26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 spans="1:26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 spans="1:26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 spans="1:26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 spans="1:26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 spans="1:26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 spans="1:26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 spans="1:26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 spans="1:26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 spans="1:26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 spans="1:26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 spans="1:26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 spans="1:26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 spans="1:26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 spans="1:26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 spans="1:26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 spans="1:26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 spans="1:26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 spans="1:26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 spans="1:26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 spans="1:26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 spans="1:26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 spans="1:26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 spans="1:26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 spans="1:26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 spans="1:26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 spans="1:26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 spans="1:26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 spans="1:26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 spans="1:26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 spans="1:26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 spans="1:26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 spans="1:26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 spans="1:26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 spans="1:26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 spans="1:26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 spans="1:26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 spans="1:26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 spans="1:26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 spans="1:26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 spans="1:26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 spans="1:26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 spans="1:26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 spans="1:26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 spans="1:26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 spans="1:26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 spans="1:26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 spans="1:26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 spans="1:26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 spans="1:26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 spans="1:26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 spans="1:26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 spans="1:26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 spans="1:26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 spans="1:26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 spans="1:26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 spans="1:26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 spans="1:26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 spans="1:26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 spans="1:26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 spans="1:26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 spans="1:26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 spans="1:26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 spans="1:26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 spans="1:26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 spans="1:26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 spans="1:26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 spans="1:26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 spans="1:26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 spans="1:26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 spans="1:26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 spans="1:26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 spans="1:26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 spans="1:26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 spans="1:26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 spans="1:26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 spans="1:26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 spans="1:26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 spans="1:26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 spans="1:26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 spans="1:26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 spans="1:26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 spans="1:26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 spans="1:26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 spans="1:26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 spans="1:26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 spans="1:26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 spans="1:26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 spans="1:26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 spans="1:26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 spans="1:26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 spans="1:26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 spans="1:26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 spans="1:26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 spans="1:26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 spans="1:26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 spans="1:26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 spans="1:26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 spans="1:26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 spans="1:26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 spans="1:26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 spans="1:26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 spans="1:26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 spans="1:26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 spans="1:26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 spans="1:26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 spans="1:26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 spans="1:26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 spans="1:26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 spans="1:26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 spans="1:26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 spans="1:26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 spans="1:26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 spans="1:26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 spans="1:26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 spans="1:26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 spans="1:26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 spans="1:26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 spans="1:26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 spans="1:26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 spans="1:26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 spans="1:26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 spans="1:26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 spans="1:26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 spans="1:26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 spans="1:26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 spans="1:26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 spans="1:26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 spans="1:26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 spans="1:26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 spans="1:26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 spans="1:26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 spans="1:26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 spans="1:26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 spans="1:26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 spans="1:26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 spans="1:26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 spans="1:26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 spans="1:26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 spans="1:26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 spans="1:26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 spans="1:26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 spans="1:26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 spans="1:26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 spans="1:26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 spans="1:26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 spans="1:26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 spans="1:26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 spans="1:26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 spans="1:26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 spans="1:26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 spans="1:26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 spans="1:26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 spans="1:26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 spans="1:26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 spans="1:26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 spans="1:26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 spans="1:26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 spans="1:26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 spans="1:26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 spans="1:26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 spans="1:26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 spans="1:26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 spans="1:26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 spans="1:26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 spans="1:26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 spans="1:26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 spans="1:26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 spans="1:26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 spans="1:26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 spans="1:26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 spans="1:26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 spans="1:26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 spans="1:26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 spans="1:26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 spans="1:26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 spans="1:26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 spans="1:26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 spans="1:26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 spans="1:26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 spans="1:26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 spans="1:26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 spans="1:26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 spans="1:26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 spans="1:26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 spans="1:26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 spans="1:26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 spans="1:26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 spans="1:26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 spans="1:26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 spans="1:26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 spans="1:26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 spans="1:26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 spans="1:26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 spans="1:26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 spans="1:26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 spans="1:26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 spans="1:26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 spans="1:26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 spans="1:26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 spans="1:26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 spans="1:26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 spans="1:26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 spans="1:26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 spans="1:26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 spans="1:26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 spans="1:26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 spans="1:26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 spans="1:26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 spans="1:26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 spans="1:26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 spans="1:26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 spans="1:26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 spans="1:26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 spans="1:26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 spans="1:26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 spans="1:26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 spans="1:26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 spans="1:26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 spans="1:26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 spans="1:26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 spans="1:26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 spans="1:26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 spans="1:26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 spans="1:26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 spans="1:26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 spans="1:26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 spans="1:26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 spans="1:26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 spans="1:26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 spans="1:26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 spans="1:26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 spans="1:26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 spans="1:26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 spans="1:26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 spans="1:26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 spans="1:26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 spans="1:26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 spans="1:26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 spans="1:26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 spans="1:26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 spans="1:26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 spans="1:26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 spans="1:26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 spans="1:26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 spans="1:26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 spans="1:26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 spans="1:26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 spans="1:26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 spans="1:26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 spans="1:26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 spans="1:26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 spans="1:26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 spans="1:26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 spans="1:26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 spans="1:26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 spans="1:26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 spans="1:26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 spans="1:26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 spans="1:26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 spans="1:26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 spans="1:26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 spans="1:26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 spans="1:26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 spans="1:26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 spans="1:26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 spans="1:26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 spans="1:26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 spans="1:26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 spans="1:26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 spans="1:26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 spans="1:26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 spans="1:26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 spans="1:26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 spans="1:26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 spans="1:26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 spans="1:26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 spans="1:26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 spans="1:26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 spans="1:26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 spans="1:26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 spans="1:26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 spans="1:26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 spans="1:26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 spans="1:26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 spans="1:26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 spans="1:26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 spans="1:26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 spans="1:26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 spans="1:26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 spans="1:26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 spans="1:26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 spans="1:26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 spans="1:26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 spans="1:26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 spans="1:26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 spans="1:26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 spans="1:26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 spans="1:26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 spans="1:26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 spans="1:26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 spans="1:26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 spans="1:26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 spans="1:26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 spans="1:26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 spans="1:26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 spans="1:26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 spans="1:26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 spans="1:26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 spans="1:26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 spans="1:26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 spans="1:26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 spans="1:26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 spans="1:26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 spans="1:26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 spans="1:26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 spans="1:26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 spans="1:26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 spans="1:26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 spans="1:26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 spans="1:26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 spans="1:26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 spans="1:26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 spans="1:26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 spans="1:26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 spans="1:26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 spans="1:26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 spans="1:26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 spans="1:26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 spans="1:26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 spans="1:26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 spans="1:26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 spans="1:26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 spans="1:26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 spans="1:26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 spans="1:26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 spans="1:26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 spans="1:26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 spans="1:26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 spans="1:26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 spans="1:26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 spans="1:26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 spans="1:26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 spans="1:26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 spans="1:26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 spans="1:26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 spans="1:26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 spans="1:26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 spans="1:26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 spans="1:26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 spans="1:26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 spans="1:26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 spans="1:26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 spans="1:26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 spans="1:26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 spans="1:26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 spans="1:26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 spans="1:26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 spans="1:26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 spans="1:26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 spans="1:26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 spans="1:26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 spans="1:26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 spans="1:26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 spans="1:26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 spans="1:26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 spans="1:26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 spans="1:26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 spans="1:26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 spans="1:26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 spans="1:26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 spans="1:26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 spans="1:26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 spans="1:26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 spans="1:26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 spans="1:26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 spans="1:26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 spans="1:26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 spans="1:26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 spans="1:26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 spans="1:26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 spans="1:26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 spans="1:26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 spans="1:26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 spans="1:26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 spans="1:26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 spans="1:26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 spans="1:26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 spans="1:26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 spans="1:26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 spans="1:26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 spans="1:26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 spans="1:26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 spans="1:26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 spans="1:26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 spans="1:26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 spans="1:26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 spans="1:26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 spans="1:26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 spans="1:26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 spans="1:26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 spans="1:26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 spans="1:26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 spans="1:26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 spans="1:26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 spans="1:26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 spans="1:26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 spans="1:26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 spans="1:26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 spans="1:26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  <row r="1002" spans="1:26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  <c r="X1002" s="4"/>
      <c r="Y1002" s="4"/>
      <c r="Z1002" s="4"/>
    </row>
    <row r="1003" spans="1:26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  <c r="X1003" s="4"/>
      <c r="Y1003" s="4"/>
      <c r="Z1003" s="4"/>
    </row>
    <row r="1004" spans="1:26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  <c r="X1004" s="4"/>
      <c r="Y1004" s="4"/>
      <c r="Z1004" s="4"/>
    </row>
    <row r="1005" spans="1:26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  <c r="X1005" s="4"/>
      <c r="Y1005" s="4"/>
      <c r="Z1005" s="4"/>
    </row>
    <row r="1006" spans="1:26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  <c r="X1006" s="4"/>
      <c r="Y1006" s="4"/>
      <c r="Z1006" s="4"/>
    </row>
    <row r="1007" spans="1:26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  <c r="X1007" s="4"/>
      <c r="Y1007" s="4"/>
      <c r="Z1007" s="4"/>
    </row>
    <row r="1008" spans="1:26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  <c r="X1008" s="4"/>
      <c r="Y1008" s="4"/>
      <c r="Z1008" s="4"/>
    </row>
    <row r="1009" spans="1:26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  <c r="X1009" s="4"/>
      <c r="Y1009" s="4"/>
      <c r="Z1009" s="4"/>
    </row>
    <row r="1010" spans="1:26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  <c r="X1010" s="4"/>
      <c r="Y1010" s="4"/>
      <c r="Z1010" s="4"/>
    </row>
    <row r="1011" spans="1:26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  <c r="X1011" s="4"/>
      <c r="Y1011" s="4"/>
      <c r="Z1011" s="4"/>
    </row>
    <row r="1012" spans="1:26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  <c r="X1012" s="4"/>
      <c r="Y1012" s="4"/>
      <c r="Z1012" s="4"/>
    </row>
    <row r="1013" spans="1:26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  <c r="X1013" s="4"/>
      <c r="Y1013" s="4"/>
      <c r="Z1013" s="4"/>
    </row>
    <row r="1014" spans="1:26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  <c r="X1014" s="4"/>
      <c r="Y1014" s="4"/>
      <c r="Z1014" s="4"/>
    </row>
    <row r="1015" spans="1:26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  <c r="X1015" s="4"/>
      <c r="Y1015" s="4"/>
      <c r="Z1015" s="4"/>
    </row>
    <row r="1016" spans="1:26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  <c r="X1016" s="4"/>
      <c r="Y1016" s="4"/>
      <c r="Z1016" s="4"/>
    </row>
    <row r="1017" spans="1:26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  <c r="X1017" s="4"/>
      <c r="Y1017" s="4"/>
      <c r="Z1017" s="4"/>
    </row>
    <row r="1018" spans="1:26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  <c r="X1018" s="4"/>
      <c r="Y1018" s="4"/>
      <c r="Z1018" s="4"/>
    </row>
    <row r="1019" spans="1:26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  <c r="X1019" s="4"/>
      <c r="Y1019" s="4"/>
      <c r="Z1019" s="4"/>
    </row>
    <row r="1020" spans="1:26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  <c r="X1020" s="4"/>
      <c r="Y1020" s="4"/>
      <c r="Z1020" s="4"/>
    </row>
    <row r="1021" spans="1:26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  <c r="X1021" s="4"/>
      <c r="Y1021" s="4"/>
      <c r="Z1021" s="4"/>
    </row>
    <row r="1022" spans="1:26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  <c r="X1022" s="4"/>
      <c r="Y1022" s="4"/>
      <c r="Z1022" s="4"/>
    </row>
    <row r="1023" spans="1:26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  <c r="X1023" s="4"/>
      <c r="Y1023" s="4"/>
      <c r="Z1023" s="4"/>
    </row>
    <row r="1024" spans="1:26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  <c r="X1024" s="4"/>
      <c r="Y1024" s="4"/>
      <c r="Z1024" s="4"/>
    </row>
    <row r="1025" spans="1:26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  <c r="X1025" s="4"/>
      <c r="Y1025" s="4"/>
      <c r="Z1025" s="4"/>
    </row>
    <row r="1026" spans="1:26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  <c r="X1026" s="4"/>
      <c r="Y1026" s="4"/>
      <c r="Z1026" s="4"/>
    </row>
    <row r="1027" spans="1:26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  <c r="X1027" s="4"/>
      <c r="Y1027" s="4"/>
      <c r="Z1027" s="4"/>
    </row>
    <row r="1028" spans="1:26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  <c r="X1028" s="4"/>
      <c r="Y1028" s="4"/>
      <c r="Z1028" s="4"/>
    </row>
    <row r="1029" spans="1:26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  <c r="X1029" s="4"/>
      <c r="Y1029" s="4"/>
      <c r="Z1029" s="4"/>
    </row>
    <row r="1030" spans="1:26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  <c r="X1030" s="4"/>
      <c r="Y1030" s="4"/>
      <c r="Z1030" s="4"/>
    </row>
    <row r="1031" spans="1:26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  <c r="X1031" s="4"/>
      <c r="Y1031" s="4"/>
      <c r="Z1031" s="4"/>
    </row>
    <row r="1032" spans="1:26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  <c r="X1032" s="4"/>
      <c r="Y1032" s="4"/>
      <c r="Z1032" s="4"/>
    </row>
    <row r="1033" spans="1:26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  <c r="X1033" s="4"/>
      <c r="Y1033" s="4"/>
      <c r="Z1033" s="4"/>
    </row>
    <row r="1034" spans="1:26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  <c r="X1034" s="4"/>
      <c r="Y1034" s="4"/>
      <c r="Z1034" s="4"/>
    </row>
    <row r="1035" spans="1:26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  <c r="X1035" s="4"/>
      <c r="Y1035" s="4"/>
      <c r="Z1035" s="4"/>
    </row>
    <row r="1036" spans="1:26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  <c r="X1036" s="4"/>
      <c r="Y1036" s="4"/>
      <c r="Z1036" s="4"/>
    </row>
    <row r="1037" spans="1:26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  <c r="X1037" s="4"/>
      <c r="Y1037" s="4"/>
      <c r="Z1037" s="4"/>
    </row>
    <row r="1038" spans="1:26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  <c r="X1038" s="4"/>
      <c r="Y1038" s="4"/>
      <c r="Z1038" s="4"/>
    </row>
    <row r="1039" spans="1:26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  <c r="X1039" s="4"/>
      <c r="Y1039" s="4"/>
      <c r="Z1039" s="4"/>
    </row>
    <row r="1040" spans="1:26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  <c r="X1040" s="4"/>
      <c r="Y1040" s="4"/>
      <c r="Z1040" s="4"/>
    </row>
    <row r="1041" spans="1:26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  <c r="X1041" s="4"/>
      <c r="Y1041" s="4"/>
      <c r="Z1041" s="4"/>
    </row>
    <row r="1042" spans="1:26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  <c r="X1042" s="4"/>
      <c r="Y1042" s="4"/>
      <c r="Z1042" s="4"/>
    </row>
    <row r="1043" spans="1:26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  <c r="X1043" s="4"/>
      <c r="Y1043" s="4"/>
      <c r="Z1043" s="4"/>
    </row>
    <row r="1044" spans="1:26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  <c r="X1044" s="4"/>
      <c r="Y1044" s="4"/>
      <c r="Z1044" s="4"/>
    </row>
    <row r="1045" spans="1:26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  <c r="X1045" s="4"/>
      <c r="Y1045" s="4"/>
      <c r="Z1045" s="4"/>
    </row>
    <row r="1046" spans="1:26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  <c r="X1046" s="4"/>
      <c r="Y1046" s="4"/>
      <c r="Z1046" s="4"/>
    </row>
    <row r="1047" spans="1:26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  <c r="X1047" s="4"/>
      <c r="Y1047" s="4"/>
      <c r="Z1047" s="4"/>
    </row>
    <row r="1048" spans="1:26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  <c r="X1048" s="4"/>
      <c r="Y1048" s="4"/>
      <c r="Z1048" s="4"/>
    </row>
    <row r="1049" spans="1:26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  <c r="X1049" s="4"/>
      <c r="Y1049" s="4"/>
      <c r="Z1049" s="4"/>
    </row>
    <row r="1050" spans="1:26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  <c r="X1050" s="4"/>
      <c r="Y1050" s="4"/>
      <c r="Z1050" s="4"/>
    </row>
    <row r="1051" spans="1:26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  <c r="X1051" s="4"/>
      <c r="Y1051" s="4"/>
      <c r="Z1051" s="4"/>
    </row>
    <row r="1052" spans="1:26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  <c r="X1052" s="4"/>
      <c r="Y1052" s="4"/>
      <c r="Z1052" s="4"/>
    </row>
    <row r="1053" spans="1:26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  <c r="X1053" s="4"/>
      <c r="Y1053" s="4"/>
      <c r="Z1053" s="4"/>
    </row>
    <row r="1054" spans="1:26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  <c r="X1054" s="4"/>
      <c r="Y1054" s="4"/>
      <c r="Z1054" s="4"/>
    </row>
    <row r="1055" spans="1:26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  <c r="X1055" s="4"/>
      <c r="Y1055" s="4"/>
      <c r="Z1055" s="4"/>
    </row>
    <row r="1056" spans="1:26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  <c r="X1056" s="4"/>
      <c r="Y1056" s="4"/>
      <c r="Z1056" s="4"/>
    </row>
    <row r="1057" spans="1:26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  <c r="X1057" s="4"/>
      <c r="Y1057" s="4"/>
      <c r="Z1057" s="4"/>
    </row>
    <row r="1058" spans="1:26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  <c r="X1058" s="4"/>
      <c r="Y1058" s="4"/>
      <c r="Z1058" s="4"/>
    </row>
    <row r="1059" spans="1:26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  <c r="X1059" s="4"/>
      <c r="Y1059" s="4"/>
      <c r="Z1059" s="4"/>
    </row>
    <row r="1060" spans="1:26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  <c r="X1060" s="4"/>
      <c r="Y1060" s="4"/>
      <c r="Z1060" s="4"/>
    </row>
    <row r="1061" spans="1:26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  <c r="X1061" s="4"/>
      <c r="Y1061" s="4"/>
      <c r="Z1061" s="4"/>
    </row>
    <row r="1062" spans="1:26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  <c r="X1062" s="4"/>
      <c r="Y1062" s="4"/>
      <c r="Z1062" s="4"/>
    </row>
    <row r="1063" spans="1:26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  <c r="X1063" s="4"/>
      <c r="Y1063" s="4"/>
      <c r="Z1063" s="4"/>
    </row>
    <row r="1064" spans="1:26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  <c r="X1064" s="4"/>
      <c r="Y1064" s="4"/>
      <c r="Z1064" s="4"/>
    </row>
    <row r="1065" spans="1:26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  <c r="X1065" s="4"/>
      <c r="Y1065" s="4"/>
      <c r="Z1065" s="4"/>
    </row>
    <row r="1066" spans="1:26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  <c r="X1066" s="4"/>
      <c r="Y1066" s="4"/>
      <c r="Z1066" s="4"/>
    </row>
    <row r="1067" spans="1:26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  <c r="X1067" s="4"/>
      <c r="Y1067" s="4"/>
      <c r="Z1067" s="4"/>
    </row>
    <row r="1068" spans="1:26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  <c r="X1068" s="4"/>
      <c r="Y1068" s="4"/>
      <c r="Z1068" s="4"/>
    </row>
    <row r="1069" spans="1:26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  <c r="X1069" s="4"/>
      <c r="Y1069" s="4"/>
      <c r="Z1069" s="4"/>
    </row>
    <row r="1070" spans="1:26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  <c r="X1070" s="4"/>
      <c r="Y1070" s="4"/>
      <c r="Z1070" s="4"/>
    </row>
    <row r="1071" spans="1:26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  <c r="X1071" s="4"/>
      <c r="Y1071" s="4"/>
      <c r="Z1071" s="4"/>
    </row>
    <row r="1072" spans="1:26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  <c r="X1072" s="4"/>
      <c r="Y1072" s="4"/>
      <c r="Z1072" s="4"/>
    </row>
    <row r="1073" spans="1:26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  <c r="X1073" s="4"/>
      <c r="Y1073" s="4"/>
      <c r="Z1073" s="4"/>
    </row>
    <row r="1074" spans="1:26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  <c r="X1074" s="4"/>
      <c r="Y1074" s="4"/>
      <c r="Z1074" s="4"/>
    </row>
    <row r="1075" spans="1:26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  <c r="X1075" s="4"/>
      <c r="Y1075" s="4"/>
      <c r="Z1075" s="4"/>
    </row>
    <row r="1076" spans="1:26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  <c r="X1076" s="4"/>
      <c r="Y1076" s="4"/>
      <c r="Z1076" s="4"/>
    </row>
    <row r="1077" spans="1:26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  <c r="X1077" s="4"/>
      <c r="Y1077" s="4"/>
      <c r="Z1077" s="4"/>
    </row>
    <row r="1078" spans="1:26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  <c r="X1078" s="4"/>
      <c r="Y1078" s="4"/>
      <c r="Z1078" s="4"/>
    </row>
    <row r="1079" spans="1:26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  <c r="X1079" s="4"/>
      <c r="Y1079" s="4"/>
      <c r="Z1079" s="4"/>
    </row>
    <row r="1080" spans="1:26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  <c r="X1080" s="4"/>
      <c r="Y1080" s="4"/>
      <c r="Z1080" s="4"/>
    </row>
    <row r="1081" spans="1:26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  <c r="X1081" s="4"/>
      <c r="Y1081" s="4"/>
      <c r="Z1081" s="4"/>
    </row>
    <row r="1082" spans="1:26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  <c r="X1082" s="4"/>
      <c r="Y1082" s="4"/>
      <c r="Z1082" s="4"/>
    </row>
    <row r="1083" spans="1:26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  <c r="X1083" s="4"/>
      <c r="Y1083" s="4"/>
      <c r="Z1083" s="4"/>
    </row>
    <row r="1084" spans="1:26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  <c r="X1084" s="4"/>
      <c r="Y1084" s="4"/>
      <c r="Z1084" s="4"/>
    </row>
    <row r="1085" spans="1:26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  <c r="X1085" s="4"/>
      <c r="Y1085" s="4"/>
      <c r="Z1085" s="4"/>
    </row>
    <row r="1086" spans="1:26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  <c r="X1086" s="4"/>
      <c r="Y1086" s="4"/>
      <c r="Z1086" s="4"/>
    </row>
    <row r="1087" spans="1:26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  <c r="X1087" s="4"/>
      <c r="Y1087" s="4"/>
      <c r="Z1087" s="4"/>
    </row>
    <row r="1088" spans="1:26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  <c r="X1088" s="4"/>
      <c r="Y1088" s="4"/>
      <c r="Z1088" s="4"/>
    </row>
    <row r="1089" spans="1:26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  <c r="X1089" s="4"/>
      <c r="Y1089" s="4"/>
      <c r="Z1089" s="4"/>
    </row>
    <row r="1090" spans="1:26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  <c r="X1090" s="4"/>
      <c r="Y1090" s="4"/>
      <c r="Z1090" s="4"/>
    </row>
    <row r="1091" spans="1:26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  <c r="X1091" s="4"/>
      <c r="Y1091" s="4"/>
      <c r="Z1091" s="4"/>
    </row>
    <row r="1092" spans="1:26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  <c r="X1092" s="4"/>
      <c r="Y1092" s="4"/>
      <c r="Z1092" s="4"/>
    </row>
    <row r="1093" spans="1:26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  <c r="X1093" s="4"/>
      <c r="Y1093" s="4"/>
      <c r="Z1093" s="4"/>
    </row>
    <row r="1094" spans="1:26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  <c r="X1094" s="4"/>
      <c r="Y1094" s="4"/>
      <c r="Z1094" s="4"/>
    </row>
    <row r="1095" spans="1:26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  <c r="X1095" s="4"/>
      <c r="Y1095" s="4"/>
      <c r="Z1095" s="4"/>
    </row>
    <row r="1096" spans="1:26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  <c r="X1096" s="4"/>
      <c r="Y1096" s="4"/>
      <c r="Z1096" s="4"/>
    </row>
    <row r="1097" spans="1:26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  <c r="X1097" s="4"/>
      <c r="Y1097" s="4"/>
      <c r="Z1097" s="4"/>
    </row>
    <row r="1098" spans="1:26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  <c r="X1098" s="4"/>
      <c r="Y1098" s="4"/>
      <c r="Z1098" s="4"/>
    </row>
    <row r="1099" spans="1:26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  <c r="X1099" s="4"/>
      <c r="Y1099" s="4"/>
      <c r="Z1099" s="4"/>
    </row>
    <row r="1100" spans="1:26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  <c r="X1100" s="4"/>
      <c r="Y1100" s="4"/>
      <c r="Z1100" s="4"/>
    </row>
    <row r="1101" spans="1:26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  <c r="X1101" s="4"/>
      <c r="Y1101" s="4"/>
      <c r="Z1101" s="4"/>
    </row>
    <row r="1102" spans="1:26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  <c r="X1102" s="4"/>
      <c r="Y1102" s="4"/>
      <c r="Z1102" s="4"/>
    </row>
    <row r="1103" spans="1:26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  <c r="X1103" s="4"/>
      <c r="Y1103" s="4"/>
      <c r="Z1103" s="4"/>
    </row>
    <row r="1104" spans="1:26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  <c r="X1104" s="4"/>
      <c r="Y1104" s="4"/>
      <c r="Z1104" s="4"/>
    </row>
    <row r="1105" spans="1:26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  <c r="X1105" s="4"/>
      <c r="Y1105" s="4"/>
      <c r="Z1105" s="4"/>
    </row>
    <row r="1106" spans="1:26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  <c r="X1106" s="4"/>
      <c r="Y1106" s="4"/>
      <c r="Z1106" s="4"/>
    </row>
    <row r="1107" spans="1:26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  <c r="X1107" s="4"/>
      <c r="Y1107" s="4"/>
      <c r="Z1107" s="4"/>
    </row>
    <row r="1108" spans="1:26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  <c r="X1108" s="4"/>
      <c r="Y1108" s="4"/>
      <c r="Z1108" s="4"/>
    </row>
    <row r="1109" spans="1:26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  <c r="X1109" s="4"/>
      <c r="Y1109" s="4"/>
      <c r="Z1109" s="4"/>
    </row>
    <row r="1110" spans="1:26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  <c r="X1110" s="4"/>
      <c r="Y1110" s="4"/>
      <c r="Z1110" s="4"/>
    </row>
    <row r="1111" spans="1:26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  <c r="X1111" s="4"/>
      <c r="Y1111" s="4"/>
      <c r="Z1111" s="4"/>
    </row>
    <row r="1112" spans="1:26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  <c r="X1112" s="4"/>
      <c r="Y1112" s="4"/>
      <c r="Z1112" s="4"/>
    </row>
    <row r="1113" spans="1:26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  <c r="X1113" s="4"/>
      <c r="Y1113" s="4"/>
      <c r="Z1113" s="4"/>
    </row>
    <row r="1114" spans="1:26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  <c r="X1114" s="4"/>
      <c r="Y1114" s="4"/>
      <c r="Z1114" s="4"/>
    </row>
    <row r="1115" spans="1:26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  <c r="X1115" s="4"/>
      <c r="Y1115" s="4"/>
      <c r="Z1115" s="4"/>
    </row>
    <row r="1116" spans="1:26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  <c r="X1116" s="4"/>
      <c r="Y1116" s="4"/>
      <c r="Z1116" s="4"/>
    </row>
    <row r="1117" spans="1:26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  <c r="X1117" s="4"/>
      <c r="Y1117" s="4"/>
      <c r="Z1117" s="4"/>
    </row>
    <row r="1118" spans="1:26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  <c r="X1118" s="4"/>
      <c r="Y1118" s="4"/>
      <c r="Z1118" s="4"/>
    </row>
    <row r="1119" spans="1:26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  <c r="X1119" s="4"/>
      <c r="Y1119" s="4"/>
      <c r="Z1119" s="4"/>
    </row>
    <row r="1120" spans="1:26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  <c r="X1120" s="4"/>
      <c r="Y1120" s="4"/>
      <c r="Z1120" s="4"/>
    </row>
    <row r="1121" spans="1:26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  <c r="X1121" s="4"/>
      <c r="Y1121" s="4"/>
      <c r="Z1121" s="4"/>
    </row>
    <row r="1122" spans="1:26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  <c r="X1122" s="4"/>
      <c r="Y1122" s="4"/>
      <c r="Z1122" s="4"/>
    </row>
    <row r="1123" spans="1:26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  <c r="X1123" s="4"/>
      <c r="Y1123" s="4"/>
      <c r="Z1123" s="4"/>
    </row>
    <row r="1124" spans="1:26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  <c r="X1124" s="4"/>
      <c r="Y1124" s="4"/>
      <c r="Z1124" s="4"/>
    </row>
    <row r="1125" spans="1:26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  <c r="X1125" s="4"/>
      <c r="Y1125" s="4"/>
      <c r="Z1125" s="4"/>
    </row>
    <row r="1126" spans="1:26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  <c r="X1126" s="4"/>
      <c r="Y1126" s="4"/>
      <c r="Z1126" s="4"/>
    </row>
    <row r="1127" spans="1:26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  <c r="X1127" s="4"/>
      <c r="Y1127" s="4"/>
      <c r="Z1127" s="4"/>
    </row>
    <row r="1128" spans="1:26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  <c r="X1128" s="4"/>
      <c r="Y1128" s="4"/>
      <c r="Z1128" s="4"/>
    </row>
    <row r="1129" spans="1:26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  <c r="X1129" s="4"/>
      <c r="Y1129" s="4"/>
      <c r="Z1129" s="4"/>
    </row>
    <row r="1130" spans="1:26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  <c r="X1130" s="4"/>
      <c r="Y1130" s="4"/>
      <c r="Z1130" s="4"/>
    </row>
    <row r="1131" spans="1:26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  <c r="X1131" s="4"/>
      <c r="Y1131" s="4"/>
      <c r="Z1131" s="4"/>
    </row>
    <row r="1132" spans="1:26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  <c r="X1132" s="4"/>
      <c r="Y1132" s="4"/>
      <c r="Z1132" s="4"/>
    </row>
    <row r="1133" spans="1:26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  <c r="X1133" s="4"/>
      <c r="Y1133" s="4"/>
      <c r="Z1133" s="4"/>
    </row>
    <row r="1134" spans="1:26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  <c r="X1134" s="4"/>
      <c r="Y1134" s="4"/>
      <c r="Z1134" s="4"/>
    </row>
    <row r="1135" spans="1:26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  <c r="X1135" s="4"/>
      <c r="Y1135" s="4"/>
      <c r="Z1135" s="4"/>
    </row>
    <row r="1136" spans="1:26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  <c r="X1136" s="4"/>
      <c r="Y1136" s="4"/>
      <c r="Z1136" s="4"/>
    </row>
    <row r="1137" spans="1:26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  <c r="X1137" s="4"/>
      <c r="Y1137" s="4"/>
      <c r="Z1137" s="4"/>
    </row>
    <row r="1138" spans="1:26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  <c r="X1138" s="4"/>
      <c r="Y1138" s="4"/>
      <c r="Z1138" s="4"/>
    </row>
    <row r="1139" spans="1:26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  <c r="X1139" s="4"/>
      <c r="Y1139" s="4"/>
      <c r="Z1139" s="4"/>
    </row>
  </sheetData>
  <mergeCells count="8">
    <mergeCell ref="AC1:BA1"/>
    <mergeCell ref="A1:Z1"/>
    <mergeCell ref="R2:U2"/>
    <mergeCell ref="W2:Z2"/>
    <mergeCell ref="B2:P2"/>
    <mergeCell ref="AC2:AQ2"/>
    <mergeCell ref="AS2:AV2"/>
    <mergeCell ref="AX2:BA2"/>
  </mergeCells>
  <pageMargins left="0.7" right="0.7" top="0.75" bottom="0.75" header="0" footer="0"/>
  <pageSetup orientation="landscape" r:id="rId1"/>
  <ignoredErrors>
    <ignoredError sqref="AE4:AE16 AF4:AF16 AG4:AG16 AL4:AL16 AT4:AT16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2F05FD-CD9C-4286-96FB-DD9B1839DD94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6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53</v>
      </c>
      <c r="B4" s="7">
        <v>44</v>
      </c>
      <c r="C4" s="1">
        <v>8825</v>
      </c>
      <c r="D4" s="9">
        <v>0.443</v>
      </c>
      <c r="E4" s="9">
        <v>13.7</v>
      </c>
      <c r="F4" s="9"/>
      <c r="G4" s="9">
        <v>0.58199999999999996</v>
      </c>
      <c r="H4" s="9">
        <v>0.249</v>
      </c>
      <c r="I4" s="9">
        <v>0.224</v>
      </c>
      <c r="J4" s="9">
        <v>6.8000000000000005E-2</v>
      </c>
      <c r="K4" s="9">
        <v>4.1000000000000002E-2</v>
      </c>
      <c r="L4" s="9">
        <v>0.41799999999999998</v>
      </c>
      <c r="M4" s="9"/>
      <c r="N4" s="9">
        <v>0.52</v>
      </c>
      <c r="O4" s="9">
        <v>0.63400000000000001</v>
      </c>
      <c r="P4" s="9">
        <v>0.44800000000000001</v>
      </c>
      <c r="Q4" s="9">
        <v>0.438</v>
      </c>
      <c r="R4" s="9">
        <v>0.35199999999999998</v>
      </c>
      <c r="S4" s="9">
        <v>0.33700000000000002</v>
      </c>
      <c r="T4" s="9"/>
      <c r="U4" s="9">
        <v>0.627</v>
      </c>
      <c r="V4" s="9">
        <v>0.89300000000000002</v>
      </c>
      <c r="W4" s="9"/>
      <c r="X4" s="10">
        <v>0.16300000000000001</v>
      </c>
      <c r="Y4" s="10">
        <v>0.373</v>
      </c>
      <c r="Z4" s="5"/>
      <c r="AA4" s="5"/>
      <c r="AB4" s="5">
        <f t="shared" ref="AB4:AB16" si="0">RANK(D4,D$4:D$18,0)</f>
        <v>6</v>
      </c>
      <c r="AC4" s="5"/>
      <c r="AD4" s="5">
        <f t="shared" ref="AD4:AD16" si="1">RANK(G4,G$4:G$18,0)</f>
        <v>12</v>
      </c>
      <c r="AE4" s="5">
        <f t="shared" ref="AE4:AE16" si="2">RANK(H4,H$4:H$18,0)</f>
        <v>3</v>
      </c>
      <c r="AF4" s="5">
        <f t="shared" ref="AF4:AF16" si="3">RANK(I4,I$4:I$18,0)</f>
        <v>12</v>
      </c>
      <c r="AG4" s="5">
        <f t="shared" ref="AG4:AG16" si="4">RANK(J4,J$4:J$18,0)</f>
        <v>12</v>
      </c>
      <c r="AH4" s="5">
        <f t="shared" ref="AH4:AH16" si="5">RANK(K4,K$4:K$18,0)</f>
        <v>12</v>
      </c>
      <c r="AI4" s="5">
        <f t="shared" ref="AI4:AI16" si="6">RANK(L4,L$4:L$18,0)</f>
        <v>2</v>
      </c>
      <c r="AJ4" s="5"/>
      <c r="AK4" s="5">
        <f t="shared" ref="AK4:AK16" si="7">RANK(N4,N$4:N$18,0)</f>
        <v>4</v>
      </c>
      <c r="AL4" s="5">
        <f t="shared" ref="AL4:AL16" si="8">RANK(O4,O$4:O$18,0)</f>
        <v>11</v>
      </c>
      <c r="AM4" s="5">
        <f t="shared" ref="AM4:AM16" si="9">RANK(P4,P$4:P$18,0)</f>
        <v>7</v>
      </c>
      <c r="AN4" s="5">
        <f t="shared" ref="AN4:AN16" si="10">RANK(Q4,Q$4:Q$18,0)</f>
        <v>1</v>
      </c>
      <c r="AO4" s="5">
        <f t="shared" ref="AO4:AO16" si="11">RANK(R4,R$4:R$18,0)</f>
        <v>10</v>
      </c>
      <c r="AP4" s="5">
        <f t="shared" ref="AP4:AP16" si="12">RANK(S4,S$4:S$18,0)</f>
        <v>7</v>
      </c>
      <c r="AQ4" s="5"/>
      <c r="AR4" s="5">
        <f t="shared" ref="AR4:AR16" si="13">RANK(U4,U$4:U$18,0)</f>
        <v>5</v>
      </c>
      <c r="AS4" s="5">
        <f t="shared" ref="AS4:AS16" si="14">RANK(V4,V$4:V$18,0)</f>
        <v>7</v>
      </c>
      <c r="AT4" s="5"/>
      <c r="AU4" s="5">
        <f t="shared" ref="AU4:AU16" si="15">RANK(X4,X$4:X$18,0)</f>
        <v>12</v>
      </c>
      <c r="AV4" s="5">
        <f t="shared" ref="AV4:AV16" si="16">RANK(Y4,Y$4:Y$18,0)</f>
        <v>4</v>
      </c>
    </row>
    <row r="5" spans="1:48" x14ac:dyDescent="0.25">
      <c r="A5" s="6" t="s">
        <v>45</v>
      </c>
      <c r="B5" s="7">
        <v>44</v>
      </c>
      <c r="C5" s="1">
        <v>8800</v>
      </c>
      <c r="D5" s="9">
        <v>0.42499999999999999</v>
      </c>
      <c r="E5" s="9">
        <v>12.2</v>
      </c>
      <c r="F5" s="9"/>
      <c r="G5" s="9">
        <v>0.69399999999999995</v>
      </c>
      <c r="H5" s="9">
        <v>0.26500000000000001</v>
      </c>
      <c r="I5" s="9">
        <v>0.255</v>
      </c>
      <c r="J5" s="9">
        <v>9.1999999999999998E-2</v>
      </c>
      <c r="K5" s="9">
        <v>8.3000000000000004E-2</v>
      </c>
      <c r="L5" s="9">
        <v>0.30599999999999999</v>
      </c>
      <c r="M5" s="9"/>
      <c r="N5" s="9">
        <v>0.46700000000000003</v>
      </c>
      <c r="O5" s="9">
        <v>0.58299999999999996</v>
      </c>
      <c r="P5" s="9">
        <v>0.39600000000000002</v>
      </c>
      <c r="Q5" s="9">
        <v>0.41399999999999998</v>
      </c>
      <c r="R5" s="9">
        <v>0.375</v>
      </c>
      <c r="S5" s="9">
        <v>0.33</v>
      </c>
      <c r="T5" s="9"/>
      <c r="U5" s="9">
        <v>0.63200000000000001</v>
      </c>
      <c r="V5" s="9">
        <v>0.874</v>
      </c>
      <c r="W5" s="9"/>
      <c r="X5" s="10">
        <v>0.17299999999999999</v>
      </c>
      <c r="Y5" s="10">
        <v>0.35099999999999998</v>
      </c>
      <c r="Z5" s="5"/>
      <c r="AA5" s="5"/>
      <c r="AB5" s="5">
        <f t="shared" si="0"/>
        <v>10</v>
      </c>
      <c r="AC5" s="5"/>
      <c r="AD5" s="5">
        <f t="shared" si="1"/>
        <v>4</v>
      </c>
      <c r="AE5" s="5">
        <f t="shared" si="2"/>
        <v>1</v>
      </c>
      <c r="AF5" s="5">
        <f t="shared" si="3"/>
        <v>10</v>
      </c>
      <c r="AG5" s="5">
        <f t="shared" si="4"/>
        <v>8</v>
      </c>
      <c r="AH5" s="5">
        <f t="shared" si="5"/>
        <v>5</v>
      </c>
      <c r="AI5" s="5">
        <f t="shared" si="6"/>
        <v>10</v>
      </c>
      <c r="AJ5" s="5"/>
      <c r="AK5" s="5">
        <f t="shared" si="7"/>
        <v>12</v>
      </c>
      <c r="AL5" s="5">
        <f t="shared" si="8"/>
        <v>13</v>
      </c>
      <c r="AM5" s="5">
        <f t="shared" si="9"/>
        <v>13</v>
      </c>
      <c r="AN5" s="5">
        <f t="shared" si="10"/>
        <v>4</v>
      </c>
      <c r="AO5" s="5">
        <f t="shared" si="11"/>
        <v>8</v>
      </c>
      <c r="AP5" s="5">
        <f t="shared" si="12"/>
        <v>9</v>
      </c>
      <c r="AQ5" s="5"/>
      <c r="AR5" s="5">
        <f t="shared" si="13"/>
        <v>4</v>
      </c>
      <c r="AS5" s="5">
        <f t="shared" si="14"/>
        <v>10</v>
      </c>
      <c r="AT5" s="5"/>
      <c r="AU5" s="5">
        <f t="shared" si="15"/>
        <v>9</v>
      </c>
      <c r="AV5" s="5">
        <f t="shared" si="16"/>
        <v>11</v>
      </c>
    </row>
    <row r="6" spans="1:48" x14ac:dyDescent="0.25">
      <c r="A6" s="6" t="s">
        <v>46</v>
      </c>
      <c r="B6" s="7">
        <v>44</v>
      </c>
      <c r="C6" s="1">
        <v>8825</v>
      </c>
      <c r="D6" s="9">
        <v>0.41199999999999998</v>
      </c>
      <c r="E6" s="9">
        <v>13.3</v>
      </c>
      <c r="F6" s="9"/>
      <c r="G6" s="9">
        <v>0.69599999999999995</v>
      </c>
      <c r="H6" s="9">
        <v>0.192</v>
      </c>
      <c r="I6" s="9">
        <v>0.25600000000000001</v>
      </c>
      <c r="J6" s="9">
        <v>0.13700000000000001</v>
      </c>
      <c r="K6" s="9">
        <v>0.112</v>
      </c>
      <c r="L6" s="9">
        <v>0.30399999999999999</v>
      </c>
      <c r="M6" s="9"/>
      <c r="N6" s="9">
        <v>0.45900000000000002</v>
      </c>
      <c r="O6" s="9">
        <v>0.63600000000000001</v>
      </c>
      <c r="P6" s="9">
        <v>0.39900000000000002</v>
      </c>
      <c r="Q6" s="9">
        <v>0.375</v>
      </c>
      <c r="R6" s="9">
        <v>0.39900000000000002</v>
      </c>
      <c r="S6" s="9">
        <v>0.30199999999999999</v>
      </c>
      <c r="T6" s="9"/>
      <c r="U6" s="9">
        <v>0.58799999999999997</v>
      </c>
      <c r="V6" s="9">
        <v>0.77500000000000002</v>
      </c>
      <c r="W6" s="9"/>
      <c r="X6" s="10">
        <v>0.16700000000000001</v>
      </c>
      <c r="Y6" s="10">
        <v>0.36</v>
      </c>
      <c r="Z6" s="5"/>
      <c r="AA6" s="5"/>
      <c r="AB6" s="5">
        <f t="shared" si="0"/>
        <v>12</v>
      </c>
      <c r="AC6" s="5"/>
      <c r="AD6" s="5">
        <f t="shared" si="1"/>
        <v>3</v>
      </c>
      <c r="AE6" s="5">
        <f t="shared" si="2"/>
        <v>7</v>
      </c>
      <c r="AF6" s="5">
        <f t="shared" si="3"/>
        <v>9</v>
      </c>
      <c r="AG6" s="5">
        <f t="shared" si="4"/>
        <v>2</v>
      </c>
      <c r="AH6" s="5">
        <f t="shared" si="5"/>
        <v>1</v>
      </c>
      <c r="AI6" s="5">
        <f t="shared" si="6"/>
        <v>11</v>
      </c>
      <c r="AJ6" s="5"/>
      <c r="AK6" s="5">
        <f t="shared" si="7"/>
        <v>13</v>
      </c>
      <c r="AL6" s="5">
        <f t="shared" si="8"/>
        <v>10</v>
      </c>
      <c r="AM6" s="5">
        <f t="shared" si="9"/>
        <v>12</v>
      </c>
      <c r="AN6" s="5">
        <f t="shared" si="10"/>
        <v>12</v>
      </c>
      <c r="AO6" s="5">
        <f t="shared" si="11"/>
        <v>4</v>
      </c>
      <c r="AP6" s="5">
        <f t="shared" si="12"/>
        <v>13</v>
      </c>
      <c r="AQ6" s="5"/>
      <c r="AR6" s="5">
        <f t="shared" si="13"/>
        <v>11</v>
      </c>
      <c r="AS6" s="5">
        <f t="shared" si="14"/>
        <v>13</v>
      </c>
      <c r="AT6" s="5"/>
      <c r="AU6" s="5">
        <f t="shared" si="15"/>
        <v>10</v>
      </c>
      <c r="AV6" s="5">
        <f t="shared" si="16"/>
        <v>9</v>
      </c>
    </row>
    <row r="7" spans="1:48" x14ac:dyDescent="0.25">
      <c r="A7" s="6" t="s">
        <v>44</v>
      </c>
      <c r="B7" s="7">
        <v>44</v>
      </c>
      <c r="C7" s="1">
        <v>8825</v>
      </c>
      <c r="D7" s="9">
        <v>0.42299999999999999</v>
      </c>
      <c r="E7" s="9">
        <v>13</v>
      </c>
      <c r="F7" s="9"/>
      <c r="G7" s="9">
        <v>0.69799999999999995</v>
      </c>
      <c r="H7" s="9">
        <v>0.17100000000000001</v>
      </c>
      <c r="I7" s="9">
        <v>0.3</v>
      </c>
      <c r="J7" s="9">
        <v>0.13100000000000001</v>
      </c>
      <c r="K7" s="9">
        <v>9.5000000000000001E-2</v>
      </c>
      <c r="L7" s="9">
        <v>0.30199999999999999</v>
      </c>
      <c r="M7" s="9"/>
      <c r="N7" s="9">
        <v>0.47399999999999998</v>
      </c>
      <c r="O7" s="9">
        <v>0.64900000000000002</v>
      </c>
      <c r="P7" s="9">
        <v>0.432</v>
      </c>
      <c r="Q7" s="9">
        <v>0.41</v>
      </c>
      <c r="R7" s="9">
        <v>0.38</v>
      </c>
      <c r="S7" s="9">
        <v>0.30399999999999999</v>
      </c>
      <c r="T7" s="9"/>
      <c r="U7" s="9">
        <v>0.60299999999999998</v>
      </c>
      <c r="V7" s="9">
        <v>0.90300000000000002</v>
      </c>
      <c r="W7" s="9"/>
      <c r="X7" s="10">
        <v>0.154</v>
      </c>
      <c r="Y7" s="10">
        <v>0.36299999999999999</v>
      </c>
      <c r="Z7" s="5"/>
      <c r="AA7" s="5"/>
      <c r="AB7" s="5">
        <f t="shared" si="0"/>
        <v>11</v>
      </c>
      <c r="AC7" s="5"/>
      <c r="AD7" s="5">
        <f t="shared" si="1"/>
        <v>2</v>
      </c>
      <c r="AE7" s="5">
        <f t="shared" si="2"/>
        <v>10</v>
      </c>
      <c r="AF7" s="5">
        <f t="shared" si="3"/>
        <v>3</v>
      </c>
      <c r="AG7" s="5">
        <f t="shared" si="4"/>
        <v>3</v>
      </c>
      <c r="AH7" s="5">
        <f t="shared" si="5"/>
        <v>3</v>
      </c>
      <c r="AI7" s="5">
        <f t="shared" si="6"/>
        <v>12</v>
      </c>
      <c r="AJ7" s="5"/>
      <c r="AK7" s="5">
        <f t="shared" si="7"/>
        <v>11</v>
      </c>
      <c r="AL7" s="5">
        <f t="shared" si="8"/>
        <v>7</v>
      </c>
      <c r="AM7" s="5">
        <f t="shared" si="9"/>
        <v>9</v>
      </c>
      <c r="AN7" s="5">
        <f t="shared" si="10"/>
        <v>5</v>
      </c>
      <c r="AO7" s="5">
        <f t="shared" si="11"/>
        <v>7</v>
      </c>
      <c r="AP7" s="5">
        <f t="shared" si="12"/>
        <v>12</v>
      </c>
      <c r="AQ7" s="5"/>
      <c r="AR7" s="5">
        <f t="shared" si="13"/>
        <v>9</v>
      </c>
      <c r="AS7" s="5">
        <f t="shared" si="14"/>
        <v>2</v>
      </c>
      <c r="AT7" s="5"/>
      <c r="AU7" s="5">
        <f t="shared" si="15"/>
        <v>13</v>
      </c>
      <c r="AV7" s="5">
        <f t="shared" si="16"/>
        <v>6</v>
      </c>
    </row>
    <row r="8" spans="1:48" x14ac:dyDescent="0.25">
      <c r="A8" s="6" t="s">
        <v>47</v>
      </c>
      <c r="B8" s="7">
        <v>44</v>
      </c>
      <c r="C8" s="1">
        <v>8825</v>
      </c>
      <c r="D8" s="9">
        <v>0.40699999999999997</v>
      </c>
      <c r="E8" s="9">
        <v>15.3</v>
      </c>
      <c r="F8" s="9"/>
      <c r="G8" s="9">
        <v>0.54200000000000004</v>
      </c>
      <c r="H8" s="9">
        <v>0.115</v>
      </c>
      <c r="I8" s="9">
        <v>0.29599999999999999</v>
      </c>
      <c r="J8" s="9">
        <v>7.0000000000000007E-2</v>
      </c>
      <c r="K8" s="9">
        <v>0.06</v>
      </c>
      <c r="L8" s="9">
        <v>0.45800000000000002</v>
      </c>
      <c r="M8" s="9"/>
      <c r="N8" s="9">
        <v>0.47599999999999998</v>
      </c>
      <c r="O8" s="9">
        <v>0.63300000000000001</v>
      </c>
      <c r="P8" s="9">
        <v>0.46500000000000002</v>
      </c>
      <c r="Q8" s="9">
        <v>0.378</v>
      </c>
      <c r="R8" s="9">
        <v>0.34699999999999998</v>
      </c>
      <c r="S8" s="9">
        <v>0.32500000000000001</v>
      </c>
      <c r="T8" s="9"/>
      <c r="U8" s="9">
        <v>0.58399999999999996</v>
      </c>
      <c r="V8" s="9">
        <v>0.89700000000000002</v>
      </c>
      <c r="W8" s="9"/>
      <c r="X8" s="10">
        <v>0.224</v>
      </c>
      <c r="Y8" s="10">
        <v>0.31</v>
      </c>
      <c r="Z8" s="5"/>
      <c r="AA8" s="5"/>
      <c r="AB8" s="5">
        <f t="shared" si="0"/>
        <v>13</v>
      </c>
      <c r="AC8" s="5"/>
      <c r="AD8" s="5">
        <f t="shared" si="1"/>
        <v>13</v>
      </c>
      <c r="AE8" s="5">
        <f t="shared" si="2"/>
        <v>12</v>
      </c>
      <c r="AF8" s="5">
        <f t="shared" si="3"/>
        <v>4</v>
      </c>
      <c r="AG8" s="5">
        <f t="shared" si="4"/>
        <v>10</v>
      </c>
      <c r="AH8" s="5">
        <f t="shared" si="5"/>
        <v>10</v>
      </c>
      <c r="AI8" s="5">
        <f t="shared" si="6"/>
        <v>1</v>
      </c>
      <c r="AJ8" s="5"/>
      <c r="AK8" s="5">
        <f t="shared" si="7"/>
        <v>10</v>
      </c>
      <c r="AL8" s="5">
        <f t="shared" si="8"/>
        <v>12</v>
      </c>
      <c r="AM8" s="5">
        <f t="shared" si="9"/>
        <v>5</v>
      </c>
      <c r="AN8" s="5">
        <f t="shared" si="10"/>
        <v>11</v>
      </c>
      <c r="AO8" s="5">
        <f t="shared" si="11"/>
        <v>11</v>
      </c>
      <c r="AP8" s="5">
        <f t="shared" si="12"/>
        <v>11</v>
      </c>
      <c r="AQ8" s="5"/>
      <c r="AR8" s="5">
        <f t="shared" si="13"/>
        <v>12</v>
      </c>
      <c r="AS8" s="5">
        <f t="shared" si="14"/>
        <v>5</v>
      </c>
      <c r="AT8" s="5"/>
      <c r="AU8" s="5">
        <f t="shared" si="15"/>
        <v>2</v>
      </c>
      <c r="AV8" s="5">
        <f t="shared" si="16"/>
        <v>13</v>
      </c>
    </row>
    <row r="9" spans="1:48" x14ac:dyDescent="0.25">
      <c r="A9" s="6" t="s">
        <v>51</v>
      </c>
      <c r="B9" s="7">
        <v>44</v>
      </c>
      <c r="C9" s="1">
        <v>8825</v>
      </c>
      <c r="D9" s="9">
        <v>0.45600000000000002</v>
      </c>
      <c r="E9" s="9">
        <v>12.9</v>
      </c>
      <c r="F9" s="9"/>
      <c r="G9" s="9">
        <v>0.65100000000000002</v>
      </c>
      <c r="H9" s="9">
        <v>0.249</v>
      </c>
      <c r="I9" s="9">
        <v>0.25800000000000001</v>
      </c>
      <c r="J9" s="9">
        <v>6.9000000000000006E-2</v>
      </c>
      <c r="K9" s="9">
        <v>7.5999999999999998E-2</v>
      </c>
      <c r="L9" s="9">
        <v>0.34899999999999998</v>
      </c>
      <c r="M9" s="9"/>
      <c r="N9" s="9">
        <v>0.51500000000000001</v>
      </c>
      <c r="O9" s="9">
        <v>0.63800000000000001</v>
      </c>
      <c r="P9" s="9">
        <v>0.47399999999999998</v>
      </c>
      <c r="Q9" s="9">
        <v>0.39700000000000002</v>
      </c>
      <c r="R9" s="9">
        <v>0.36199999999999999</v>
      </c>
      <c r="S9" s="9">
        <v>0.34599999999999997</v>
      </c>
      <c r="T9" s="9"/>
      <c r="U9" s="9">
        <v>0.59</v>
      </c>
      <c r="V9" s="9">
        <v>0.84099999999999997</v>
      </c>
      <c r="W9" s="9"/>
      <c r="X9" s="10">
        <v>0.19700000000000001</v>
      </c>
      <c r="Y9" s="10">
        <v>0.36099999999999999</v>
      </c>
      <c r="Z9" s="5"/>
      <c r="AA9" s="5"/>
      <c r="AB9" s="5">
        <f t="shared" si="0"/>
        <v>3</v>
      </c>
      <c r="AC9" s="5"/>
      <c r="AD9" s="5">
        <f t="shared" si="1"/>
        <v>6</v>
      </c>
      <c r="AE9" s="5">
        <f t="shared" si="2"/>
        <v>3</v>
      </c>
      <c r="AF9" s="5">
        <f t="shared" si="3"/>
        <v>8</v>
      </c>
      <c r="AG9" s="5">
        <f t="shared" si="4"/>
        <v>11</v>
      </c>
      <c r="AH9" s="5">
        <f t="shared" si="5"/>
        <v>7</v>
      </c>
      <c r="AI9" s="5">
        <f t="shared" si="6"/>
        <v>8</v>
      </c>
      <c r="AJ9" s="5"/>
      <c r="AK9" s="5">
        <f t="shared" si="7"/>
        <v>5</v>
      </c>
      <c r="AL9" s="5">
        <f t="shared" si="8"/>
        <v>9</v>
      </c>
      <c r="AM9" s="5">
        <f t="shared" si="9"/>
        <v>3</v>
      </c>
      <c r="AN9" s="5">
        <f t="shared" si="10"/>
        <v>8</v>
      </c>
      <c r="AO9" s="5">
        <f t="shared" si="11"/>
        <v>9</v>
      </c>
      <c r="AP9" s="5">
        <f t="shared" si="12"/>
        <v>4</v>
      </c>
      <c r="AQ9" s="5"/>
      <c r="AR9" s="5">
        <f t="shared" si="13"/>
        <v>10</v>
      </c>
      <c r="AS9" s="5">
        <f t="shared" si="14"/>
        <v>12</v>
      </c>
      <c r="AT9" s="5"/>
      <c r="AU9" s="5">
        <f t="shared" si="15"/>
        <v>6</v>
      </c>
      <c r="AV9" s="5">
        <f t="shared" si="16"/>
        <v>8</v>
      </c>
    </row>
    <row r="10" spans="1:48" x14ac:dyDescent="0.25">
      <c r="A10" s="6" t="s">
        <v>42</v>
      </c>
      <c r="B10" s="7">
        <v>44</v>
      </c>
      <c r="C10" s="1">
        <v>8875</v>
      </c>
      <c r="D10" s="9">
        <v>0.45700000000000002</v>
      </c>
      <c r="E10" s="9">
        <v>12.5</v>
      </c>
      <c r="F10" s="9"/>
      <c r="G10" s="9">
        <v>0.61799999999999999</v>
      </c>
      <c r="H10" s="9">
        <v>0.25800000000000001</v>
      </c>
      <c r="I10" s="9">
        <v>0.28599999999999998</v>
      </c>
      <c r="J10" s="9">
        <v>4.8000000000000001E-2</v>
      </c>
      <c r="K10" s="9">
        <v>2.5999999999999999E-2</v>
      </c>
      <c r="L10" s="9">
        <v>0.38200000000000001</v>
      </c>
      <c r="M10" s="9"/>
      <c r="N10" s="9">
        <v>0.53100000000000003</v>
      </c>
      <c r="O10" s="9">
        <v>0.71299999999999997</v>
      </c>
      <c r="P10" s="9">
        <v>0.41199999999999998</v>
      </c>
      <c r="Q10" s="9">
        <v>0.40100000000000002</v>
      </c>
      <c r="R10" s="9">
        <v>0.27300000000000002</v>
      </c>
      <c r="S10" s="9">
        <v>0.33700000000000002</v>
      </c>
      <c r="T10" s="9"/>
      <c r="U10" s="9">
        <v>0.60799999999999998</v>
      </c>
      <c r="V10" s="9">
        <v>0.85</v>
      </c>
      <c r="W10" s="9"/>
      <c r="X10" s="10">
        <v>0.224</v>
      </c>
      <c r="Y10" s="10">
        <v>0.35299999999999998</v>
      </c>
      <c r="Z10" s="5"/>
      <c r="AA10" s="5"/>
      <c r="AB10" s="5">
        <f t="shared" si="0"/>
        <v>2</v>
      </c>
      <c r="AC10" s="5"/>
      <c r="AD10" s="5">
        <f t="shared" si="1"/>
        <v>8</v>
      </c>
      <c r="AE10" s="5">
        <f t="shared" si="2"/>
        <v>2</v>
      </c>
      <c r="AF10" s="5">
        <f t="shared" si="3"/>
        <v>7</v>
      </c>
      <c r="AG10" s="5">
        <f t="shared" si="4"/>
        <v>13</v>
      </c>
      <c r="AH10" s="5">
        <f t="shared" si="5"/>
        <v>13</v>
      </c>
      <c r="AI10" s="5">
        <f t="shared" si="6"/>
        <v>6</v>
      </c>
      <c r="AJ10" s="5"/>
      <c r="AK10" s="5">
        <f t="shared" si="7"/>
        <v>1</v>
      </c>
      <c r="AL10" s="5">
        <f t="shared" si="8"/>
        <v>1</v>
      </c>
      <c r="AM10" s="5">
        <f t="shared" si="9"/>
        <v>10</v>
      </c>
      <c r="AN10" s="5">
        <f t="shared" si="10"/>
        <v>7</v>
      </c>
      <c r="AO10" s="5">
        <f t="shared" si="11"/>
        <v>13</v>
      </c>
      <c r="AP10" s="5">
        <f t="shared" si="12"/>
        <v>7</v>
      </c>
      <c r="AQ10" s="5"/>
      <c r="AR10" s="5">
        <f t="shared" si="13"/>
        <v>8</v>
      </c>
      <c r="AS10" s="5">
        <f t="shared" si="14"/>
        <v>11</v>
      </c>
      <c r="AT10" s="5"/>
      <c r="AU10" s="5">
        <f t="shared" si="15"/>
        <v>2</v>
      </c>
      <c r="AV10" s="5">
        <f t="shared" si="16"/>
        <v>10</v>
      </c>
    </row>
    <row r="11" spans="1:48" x14ac:dyDescent="0.25">
      <c r="A11" s="6" t="s">
        <v>50</v>
      </c>
      <c r="B11" s="7">
        <v>44</v>
      </c>
      <c r="C11" s="1">
        <v>8800</v>
      </c>
      <c r="D11" s="9">
        <v>0.439</v>
      </c>
      <c r="E11" s="9">
        <v>14.7</v>
      </c>
      <c r="F11" s="9"/>
      <c r="G11" s="9">
        <v>0.61699999999999999</v>
      </c>
      <c r="H11" s="9">
        <v>8.8999999999999996E-2</v>
      </c>
      <c r="I11" s="9">
        <v>0.30299999999999999</v>
      </c>
      <c r="J11" s="9">
        <v>0.152</v>
      </c>
      <c r="K11" s="9">
        <v>7.3999999999999996E-2</v>
      </c>
      <c r="L11" s="9">
        <v>0.38300000000000001</v>
      </c>
      <c r="M11" s="9"/>
      <c r="N11" s="9">
        <v>0.49299999999999999</v>
      </c>
      <c r="O11" s="9">
        <v>0.65500000000000003</v>
      </c>
      <c r="P11" s="9">
        <v>0.49099999999999999</v>
      </c>
      <c r="Q11" s="9">
        <v>0.41599999999999998</v>
      </c>
      <c r="R11" s="9">
        <v>0.46400000000000002</v>
      </c>
      <c r="S11" s="9">
        <v>0.35099999999999998</v>
      </c>
      <c r="T11" s="9"/>
      <c r="U11" s="9">
        <v>0.56100000000000005</v>
      </c>
      <c r="V11" s="9">
        <v>0.88300000000000001</v>
      </c>
      <c r="W11" s="9"/>
      <c r="X11" s="10">
        <v>0.245</v>
      </c>
      <c r="Y11" s="10">
        <v>0.36199999999999999</v>
      </c>
      <c r="Z11" s="5"/>
      <c r="AA11" s="5"/>
      <c r="AB11" s="5">
        <f t="shared" si="0"/>
        <v>7</v>
      </c>
      <c r="AC11" s="5"/>
      <c r="AD11" s="5">
        <f t="shared" si="1"/>
        <v>9</v>
      </c>
      <c r="AE11" s="5">
        <f t="shared" si="2"/>
        <v>13</v>
      </c>
      <c r="AF11" s="5">
        <f t="shared" si="3"/>
        <v>2</v>
      </c>
      <c r="AG11" s="5">
        <f t="shared" si="4"/>
        <v>1</v>
      </c>
      <c r="AH11" s="5">
        <f t="shared" si="5"/>
        <v>8</v>
      </c>
      <c r="AI11" s="5">
        <f t="shared" si="6"/>
        <v>5</v>
      </c>
      <c r="AJ11" s="5"/>
      <c r="AK11" s="5">
        <f t="shared" si="7"/>
        <v>8</v>
      </c>
      <c r="AL11" s="5">
        <f t="shared" si="8"/>
        <v>6</v>
      </c>
      <c r="AM11" s="5">
        <f t="shared" si="9"/>
        <v>1</v>
      </c>
      <c r="AN11" s="5">
        <f t="shared" si="10"/>
        <v>3</v>
      </c>
      <c r="AO11" s="5">
        <f t="shared" si="11"/>
        <v>2</v>
      </c>
      <c r="AP11" s="5">
        <f t="shared" si="12"/>
        <v>3</v>
      </c>
      <c r="AQ11" s="5"/>
      <c r="AR11" s="5">
        <f t="shared" si="13"/>
        <v>13</v>
      </c>
      <c r="AS11" s="5">
        <f t="shared" si="14"/>
        <v>8</v>
      </c>
      <c r="AT11" s="5"/>
      <c r="AU11" s="5">
        <f t="shared" si="15"/>
        <v>1</v>
      </c>
      <c r="AV11" s="5">
        <f t="shared" si="16"/>
        <v>7</v>
      </c>
    </row>
    <row r="12" spans="1:48" x14ac:dyDescent="0.25">
      <c r="A12" s="6" t="s">
        <v>54</v>
      </c>
      <c r="B12" s="7">
        <v>44</v>
      </c>
      <c r="C12" s="1">
        <v>8825</v>
      </c>
      <c r="D12" s="9">
        <v>0.47199999999999998</v>
      </c>
      <c r="E12" s="9">
        <v>14.2</v>
      </c>
      <c r="F12" s="9"/>
      <c r="G12" s="9">
        <v>0.628</v>
      </c>
      <c r="H12" s="9">
        <v>0.19800000000000001</v>
      </c>
      <c r="I12" s="9">
        <v>0.20799999999999999</v>
      </c>
      <c r="J12" s="9">
        <v>0.109</v>
      </c>
      <c r="K12" s="9">
        <v>0.112</v>
      </c>
      <c r="L12" s="9">
        <v>0.372</v>
      </c>
      <c r="M12" s="9"/>
      <c r="N12" s="9">
        <v>0.52700000000000002</v>
      </c>
      <c r="O12" s="9">
        <v>0.69899999999999995</v>
      </c>
      <c r="P12" s="9">
        <v>0.48899999999999999</v>
      </c>
      <c r="Q12" s="9">
        <v>0.42699999999999999</v>
      </c>
      <c r="R12" s="9">
        <v>0.39500000000000002</v>
      </c>
      <c r="S12" s="9">
        <v>0.378</v>
      </c>
      <c r="T12" s="9"/>
      <c r="U12" s="9">
        <v>0.64400000000000002</v>
      </c>
      <c r="V12" s="9">
        <v>0.91700000000000004</v>
      </c>
      <c r="W12" s="9"/>
      <c r="X12" s="10">
        <v>0.16600000000000001</v>
      </c>
      <c r="Y12" s="10">
        <v>0.438</v>
      </c>
      <c r="Z12" s="5"/>
      <c r="AA12" s="5"/>
      <c r="AB12" s="5">
        <f t="shared" si="0"/>
        <v>1</v>
      </c>
      <c r="AC12" s="5"/>
      <c r="AD12" s="5">
        <f t="shared" si="1"/>
        <v>7</v>
      </c>
      <c r="AE12" s="5">
        <f t="shared" si="2"/>
        <v>6</v>
      </c>
      <c r="AF12" s="5">
        <f t="shared" si="3"/>
        <v>13</v>
      </c>
      <c r="AG12" s="5">
        <f t="shared" si="4"/>
        <v>6</v>
      </c>
      <c r="AH12" s="5">
        <f t="shared" si="5"/>
        <v>1</v>
      </c>
      <c r="AI12" s="5">
        <f t="shared" si="6"/>
        <v>7</v>
      </c>
      <c r="AJ12" s="5"/>
      <c r="AK12" s="5">
        <f t="shared" si="7"/>
        <v>2</v>
      </c>
      <c r="AL12" s="5">
        <f t="shared" si="8"/>
        <v>4</v>
      </c>
      <c r="AM12" s="5">
        <f t="shared" si="9"/>
        <v>2</v>
      </c>
      <c r="AN12" s="5">
        <f t="shared" si="10"/>
        <v>2</v>
      </c>
      <c r="AO12" s="5">
        <f t="shared" si="11"/>
        <v>6</v>
      </c>
      <c r="AP12" s="5">
        <f t="shared" si="12"/>
        <v>1</v>
      </c>
      <c r="AQ12" s="5"/>
      <c r="AR12" s="5">
        <f t="shared" si="13"/>
        <v>2</v>
      </c>
      <c r="AS12" s="5">
        <f t="shared" si="14"/>
        <v>1</v>
      </c>
      <c r="AT12" s="5"/>
      <c r="AU12" s="5">
        <f t="shared" si="15"/>
        <v>11</v>
      </c>
      <c r="AV12" s="5">
        <f t="shared" si="16"/>
        <v>1</v>
      </c>
    </row>
    <row r="13" spans="1:48" x14ac:dyDescent="0.25">
      <c r="A13" s="6" t="s">
        <v>52</v>
      </c>
      <c r="B13" s="7">
        <v>44</v>
      </c>
      <c r="C13" s="1">
        <v>8800</v>
      </c>
      <c r="D13" s="9">
        <v>0.45300000000000001</v>
      </c>
      <c r="E13" s="9">
        <v>14.2</v>
      </c>
      <c r="F13" s="9"/>
      <c r="G13" s="9">
        <v>0.59</v>
      </c>
      <c r="H13" s="9">
        <v>0.161</v>
      </c>
      <c r="I13" s="9">
        <v>0.29499999999999998</v>
      </c>
      <c r="J13" s="9">
        <v>7.8E-2</v>
      </c>
      <c r="K13" s="9">
        <v>5.5E-2</v>
      </c>
      <c r="L13" s="9">
        <v>0.41</v>
      </c>
      <c r="M13" s="9"/>
      <c r="N13" s="9">
        <v>0.52200000000000002</v>
      </c>
      <c r="O13" s="9">
        <v>0.71299999999999997</v>
      </c>
      <c r="P13" s="9">
        <v>0.46800000000000003</v>
      </c>
      <c r="Q13" s="9">
        <v>0.36299999999999999</v>
      </c>
      <c r="R13" s="9">
        <v>0.47199999999999998</v>
      </c>
      <c r="S13" s="9">
        <v>0.35499999999999998</v>
      </c>
      <c r="T13" s="9"/>
      <c r="U13" s="9">
        <v>0.67100000000000004</v>
      </c>
      <c r="V13" s="9">
        <v>0.876</v>
      </c>
      <c r="W13" s="9"/>
      <c r="X13" s="10">
        <v>0.19700000000000001</v>
      </c>
      <c r="Y13" s="10">
        <v>0.36899999999999999</v>
      </c>
      <c r="Z13" s="5"/>
      <c r="AA13" s="5"/>
      <c r="AB13" s="5">
        <f t="shared" si="0"/>
        <v>4</v>
      </c>
      <c r="AC13" s="5"/>
      <c r="AD13" s="5">
        <f t="shared" si="1"/>
        <v>11</v>
      </c>
      <c r="AE13" s="5">
        <f t="shared" si="2"/>
        <v>11</v>
      </c>
      <c r="AF13" s="5">
        <f t="shared" si="3"/>
        <v>5</v>
      </c>
      <c r="AG13" s="5">
        <f t="shared" si="4"/>
        <v>9</v>
      </c>
      <c r="AH13" s="5">
        <f t="shared" si="5"/>
        <v>11</v>
      </c>
      <c r="AI13" s="5">
        <f t="shared" si="6"/>
        <v>3</v>
      </c>
      <c r="AJ13" s="5"/>
      <c r="AK13" s="5">
        <f t="shared" si="7"/>
        <v>3</v>
      </c>
      <c r="AL13" s="5">
        <f t="shared" si="8"/>
        <v>1</v>
      </c>
      <c r="AM13" s="5">
        <f t="shared" si="9"/>
        <v>4</v>
      </c>
      <c r="AN13" s="5">
        <f t="shared" si="10"/>
        <v>13</v>
      </c>
      <c r="AO13" s="5">
        <f t="shared" si="11"/>
        <v>1</v>
      </c>
      <c r="AP13" s="5">
        <f t="shared" si="12"/>
        <v>2</v>
      </c>
      <c r="AQ13" s="5"/>
      <c r="AR13" s="5">
        <f t="shared" si="13"/>
        <v>1</v>
      </c>
      <c r="AS13" s="5">
        <f t="shared" si="14"/>
        <v>9</v>
      </c>
      <c r="AT13" s="5"/>
      <c r="AU13" s="5">
        <f t="shared" si="15"/>
        <v>6</v>
      </c>
      <c r="AV13" s="5">
        <f t="shared" si="16"/>
        <v>5</v>
      </c>
    </row>
    <row r="14" spans="1:48" x14ac:dyDescent="0.25">
      <c r="A14" s="6" t="s">
        <v>49</v>
      </c>
      <c r="B14" s="7">
        <v>44</v>
      </c>
      <c r="C14" s="1">
        <v>8800</v>
      </c>
      <c r="D14" s="9">
        <v>0.433</v>
      </c>
      <c r="E14" s="9">
        <v>14.2</v>
      </c>
      <c r="F14" s="9"/>
      <c r="G14" s="9">
        <v>0.59699999999999998</v>
      </c>
      <c r="H14" s="9">
        <v>0.19</v>
      </c>
      <c r="I14" s="9">
        <v>0.251</v>
      </c>
      <c r="J14" s="9">
        <v>9.4E-2</v>
      </c>
      <c r="K14" s="9">
        <v>6.2E-2</v>
      </c>
      <c r="L14" s="9">
        <v>0.40300000000000002</v>
      </c>
      <c r="M14" s="9"/>
      <c r="N14" s="9">
        <v>0.496</v>
      </c>
      <c r="O14" s="9">
        <v>0.64600000000000002</v>
      </c>
      <c r="P14" s="9">
        <v>0.44</v>
      </c>
      <c r="Q14" s="9">
        <v>0.40799999999999997</v>
      </c>
      <c r="R14" s="9">
        <v>0.40100000000000002</v>
      </c>
      <c r="S14" s="9">
        <v>0.34</v>
      </c>
      <c r="T14" s="9"/>
      <c r="U14" s="9">
        <v>0.61199999999999999</v>
      </c>
      <c r="V14" s="9">
        <v>0.90300000000000002</v>
      </c>
      <c r="W14" s="9"/>
      <c r="X14" s="10">
        <v>0.214</v>
      </c>
      <c r="Y14" s="10">
        <v>0.40200000000000002</v>
      </c>
      <c r="Z14" s="5"/>
      <c r="AA14" s="5"/>
      <c r="AB14" s="5">
        <f t="shared" si="0"/>
        <v>9</v>
      </c>
      <c r="AC14" s="5"/>
      <c r="AD14" s="5">
        <f t="shared" si="1"/>
        <v>10</v>
      </c>
      <c r="AE14" s="5">
        <f t="shared" si="2"/>
        <v>8</v>
      </c>
      <c r="AF14" s="5">
        <f t="shared" si="3"/>
        <v>11</v>
      </c>
      <c r="AG14" s="5">
        <f t="shared" si="4"/>
        <v>7</v>
      </c>
      <c r="AH14" s="5">
        <f t="shared" si="5"/>
        <v>9</v>
      </c>
      <c r="AI14" s="5">
        <f t="shared" si="6"/>
        <v>4</v>
      </c>
      <c r="AJ14" s="5"/>
      <c r="AK14" s="5">
        <f t="shared" si="7"/>
        <v>7</v>
      </c>
      <c r="AL14" s="5">
        <f t="shared" si="8"/>
        <v>8</v>
      </c>
      <c r="AM14" s="5">
        <f t="shared" si="9"/>
        <v>8</v>
      </c>
      <c r="AN14" s="5">
        <f t="shared" si="10"/>
        <v>6</v>
      </c>
      <c r="AO14" s="5">
        <f t="shared" si="11"/>
        <v>3</v>
      </c>
      <c r="AP14" s="5">
        <f t="shared" si="12"/>
        <v>6</v>
      </c>
      <c r="AQ14" s="5"/>
      <c r="AR14" s="5">
        <f t="shared" si="13"/>
        <v>7</v>
      </c>
      <c r="AS14" s="5">
        <f t="shared" si="14"/>
        <v>2</v>
      </c>
      <c r="AT14" s="5"/>
      <c r="AU14" s="5">
        <f t="shared" si="15"/>
        <v>5</v>
      </c>
      <c r="AV14" s="5">
        <f t="shared" si="16"/>
        <v>2</v>
      </c>
    </row>
    <row r="15" spans="1:48" x14ac:dyDescent="0.25">
      <c r="A15" s="6" t="s">
        <v>48</v>
      </c>
      <c r="B15" s="7">
        <v>44</v>
      </c>
      <c r="C15" s="1">
        <v>8850</v>
      </c>
      <c r="D15" s="9">
        <v>0.45</v>
      </c>
      <c r="E15" s="9">
        <v>13.1</v>
      </c>
      <c r="F15" s="9"/>
      <c r="G15" s="9">
        <v>0.68100000000000005</v>
      </c>
      <c r="H15" s="9">
        <v>0.17899999999999999</v>
      </c>
      <c r="I15" s="9">
        <v>0.28699999999999998</v>
      </c>
      <c r="J15" s="9">
        <v>0.13</v>
      </c>
      <c r="K15" s="9">
        <v>8.4000000000000005E-2</v>
      </c>
      <c r="L15" s="9">
        <v>0.31900000000000001</v>
      </c>
      <c r="M15" s="9"/>
      <c r="N15" s="9">
        <v>0.501</v>
      </c>
      <c r="O15" s="9">
        <v>0.71099999999999997</v>
      </c>
      <c r="P15" s="9">
        <v>0.44900000000000001</v>
      </c>
      <c r="Q15" s="9">
        <v>0.39400000000000002</v>
      </c>
      <c r="R15" s="9">
        <v>0.39700000000000002</v>
      </c>
      <c r="S15" s="9">
        <v>0.34200000000000003</v>
      </c>
      <c r="T15" s="9"/>
      <c r="U15" s="9">
        <v>0.61799999999999999</v>
      </c>
      <c r="V15" s="9">
        <v>0.89500000000000002</v>
      </c>
      <c r="W15" s="9"/>
      <c r="X15" s="10">
        <v>0.19500000000000001</v>
      </c>
      <c r="Y15" s="10">
        <v>0.38100000000000001</v>
      </c>
      <c r="Z15" s="5"/>
      <c r="AA15" s="5"/>
      <c r="AB15" s="5">
        <f t="shared" si="0"/>
        <v>5</v>
      </c>
      <c r="AC15" s="5"/>
      <c r="AD15" s="5">
        <f t="shared" si="1"/>
        <v>5</v>
      </c>
      <c r="AE15" s="5">
        <f t="shared" si="2"/>
        <v>9</v>
      </c>
      <c r="AF15" s="5">
        <f t="shared" si="3"/>
        <v>6</v>
      </c>
      <c r="AG15" s="5">
        <f t="shared" si="4"/>
        <v>4</v>
      </c>
      <c r="AH15" s="5">
        <f t="shared" si="5"/>
        <v>4</v>
      </c>
      <c r="AI15" s="5">
        <f t="shared" si="6"/>
        <v>9</v>
      </c>
      <c r="AJ15" s="5"/>
      <c r="AK15" s="5">
        <f t="shared" si="7"/>
        <v>6</v>
      </c>
      <c r="AL15" s="5">
        <f t="shared" si="8"/>
        <v>3</v>
      </c>
      <c r="AM15" s="5">
        <f t="shared" si="9"/>
        <v>6</v>
      </c>
      <c r="AN15" s="5">
        <f t="shared" si="10"/>
        <v>9</v>
      </c>
      <c r="AO15" s="5">
        <f t="shared" si="11"/>
        <v>5</v>
      </c>
      <c r="AP15" s="5">
        <f t="shared" si="12"/>
        <v>5</v>
      </c>
      <c r="AQ15" s="5"/>
      <c r="AR15" s="5">
        <f t="shared" si="13"/>
        <v>6</v>
      </c>
      <c r="AS15" s="5">
        <f t="shared" si="14"/>
        <v>6</v>
      </c>
      <c r="AT15" s="5"/>
      <c r="AU15" s="5">
        <f t="shared" si="15"/>
        <v>8</v>
      </c>
      <c r="AV15" s="5">
        <f t="shared" si="16"/>
        <v>3</v>
      </c>
    </row>
    <row r="16" spans="1:48" x14ac:dyDescent="0.25">
      <c r="A16" s="6" t="s">
        <v>43</v>
      </c>
      <c r="B16" s="7">
        <v>44</v>
      </c>
      <c r="C16" s="1">
        <v>8825</v>
      </c>
      <c r="D16" s="9">
        <v>0.439</v>
      </c>
      <c r="E16" s="9">
        <v>11.9</v>
      </c>
      <c r="F16" s="9"/>
      <c r="G16" s="9">
        <v>0.73099999999999998</v>
      </c>
      <c r="H16" s="9">
        <v>0.222</v>
      </c>
      <c r="I16" s="9">
        <v>0.30599999999999999</v>
      </c>
      <c r="J16" s="9">
        <v>0.123</v>
      </c>
      <c r="K16" s="9">
        <v>0.08</v>
      </c>
      <c r="L16" s="9">
        <v>0.26900000000000002</v>
      </c>
      <c r="M16" s="9"/>
      <c r="N16" s="9">
        <v>0.48</v>
      </c>
      <c r="O16" s="9">
        <v>0.69399999999999995</v>
      </c>
      <c r="P16" s="9">
        <v>0.4</v>
      </c>
      <c r="Q16" s="9">
        <v>0.38400000000000001</v>
      </c>
      <c r="R16" s="9">
        <v>0.33800000000000002</v>
      </c>
      <c r="S16" s="9">
        <v>0.32900000000000001</v>
      </c>
      <c r="T16" s="9"/>
      <c r="U16" s="9">
        <v>0.63300000000000001</v>
      </c>
      <c r="V16" s="9">
        <v>0.90300000000000002</v>
      </c>
      <c r="W16" s="9"/>
      <c r="X16" s="10">
        <v>0.224</v>
      </c>
      <c r="Y16" s="10">
        <v>0.314</v>
      </c>
      <c r="Z16" s="5"/>
      <c r="AA16" s="5"/>
      <c r="AB16" s="5">
        <f t="shared" si="0"/>
        <v>7</v>
      </c>
      <c r="AC16" s="5"/>
      <c r="AD16" s="5">
        <f t="shared" si="1"/>
        <v>1</v>
      </c>
      <c r="AE16" s="5">
        <f t="shared" si="2"/>
        <v>5</v>
      </c>
      <c r="AF16" s="5">
        <f t="shared" si="3"/>
        <v>1</v>
      </c>
      <c r="AG16" s="5">
        <f t="shared" si="4"/>
        <v>5</v>
      </c>
      <c r="AH16" s="5">
        <f t="shared" si="5"/>
        <v>6</v>
      </c>
      <c r="AI16" s="5">
        <f t="shared" si="6"/>
        <v>13</v>
      </c>
      <c r="AJ16" s="5"/>
      <c r="AK16" s="5">
        <f t="shared" si="7"/>
        <v>9</v>
      </c>
      <c r="AL16" s="5">
        <f t="shared" si="8"/>
        <v>5</v>
      </c>
      <c r="AM16" s="5">
        <f t="shared" si="9"/>
        <v>11</v>
      </c>
      <c r="AN16" s="5">
        <f t="shared" si="10"/>
        <v>10</v>
      </c>
      <c r="AO16" s="5">
        <f t="shared" si="11"/>
        <v>12</v>
      </c>
      <c r="AP16" s="5">
        <f t="shared" si="12"/>
        <v>10</v>
      </c>
      <c r="AQ16" s="5"/>
      <c r="AR16" s="5">
        <f t="shared" si="13"/>
        <v>3</v>
      </c>
      <c r="AS16" s="5">
        <f t="shared" si="14"/>
        <v>2</v>
      </c>
      <c r="AT16" s="5"/>
      <c r="AU16" s="5">
        <f t="shared" si="15"/>
        <v>2</v>
      </c>
      <c r="AV16" s="5">
        <f t="shared" si="16"/>
        <v>12</v>
      </c>
    </row>
    <row r="17" spans="1:48" x14ac:dyDescent="0.25">
      <c r="A17" s="6"/>
      <c r="B17" s="7"/>
      <c r="C17" s="1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10"/>
      <c r="Y17" s="10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x14ac:dyDescent="0.25">
      <c r="A18" s="6"/>
      <c r="B18" s="7"/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10"/>
      <c r="Y18" s="10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44</v>
      </c>
      <c r="C24" s="9">
        <f t="shared" ref="C24:Y24" si="17">AVERAGE(C4:C18)</f>
        <v>8823.0769230769238</v>
      </c>
      <c r="D24" s="9">
        <f t="shared" si="17"/>
        <v>0.43915384615384612</v>
      </c>
      <c r="E24" s="9">
        <f t="shared" si="17"/>
        <v>13.476923076923075</v>
      </c>
      <c r="F24" s="9"/>
      <c r="G24" s="9">
        <f t="shared" si="17"/>
        <v>0.64038461538461544</v>
      </c>
      <c r="H24" s="9">
        <f t="shared" si="17"/>
        <v>0.19523076923076921</v>
      </c>
      <c r="I24" s="9">
        <f t="shared" si="17"/>
        <v>0.27115384615384613</v>
      </c>
      <c r="J24" s="9">
        <f t="shared" si="17"/>
        <v>0.10007692307692308</v>
      </c>
      <c r="K24" s="9">
        <f t="shared" si="17"/>
        <v>7.3846153846153839E-2</v>
      </c>
      <c r="L24" s="9">
        <f t="shared" si="17"/>
        <v>0.35961538461538461</v>
      </c>
      <c r="M24" s="9"/>
      <c r="N24" s="9">
        <f t="shared" si="17"/>
        <v>0.497</v>
      </c>
      <c r="O24" s="9">
        <f t="shared" si="17"/>
        <v>0.66184615384615375</v>
      </c>
      <c r="P24" s="9">
        <f t="shared" si="17"/>
        <v>0.44330769230769235</v>
      </c>
      <c r="Q24" s="9">
        <f t="shared" si="17"/>
        <v>0.40038461538461545</v>
      </c>
      <c r="R24" s="9">
        <f t="shared" si="17"/>
        <v>0.38115384615384618</v>
      </c>
      <c r="S24" s="9">
        <f t="shared" si="17"/>
        <v>0.33661538461538459</v>
      </c>
      <c r="T24" s="9"/>
      <c r="U24" s="9">
        <f t="shared" si="17"/>
        <v>0.61315384615384627</v>
      </c>
      <c r="V24" s="9">
        <f t="shared" si="17"/>
        <v>0.87769230769230766</v>
      </c>
      <c r="W24" s="9"/>
      <c r="X24" s="9">
        <f t="shared" si="17"/>
        <v>0.19561538461538464</v>
      </c>
      <c r="Y24" s="9">
        <f t="shared" si="17"/>
        <v>0.36438461538461547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U2:V2"/>
    <mergeCell ref="X2:Y2"/>
    <mergeCell ref="A1:Y1"/>
    <mergeCell ref="AB1:AV1"/>
    <mergeCell ref="G2:L2"/>
    <mergeCell ref="AD2:AI2"/>
    <mergeCell ref="AK2:AP2"/>
    <mergeCell ref="AR2:AS2"/>
    <mergeCell ref="N2:S2"/>
  </mergeCells>
  <pageMargins left="0.7" right="0.7" top="0.75" bottom="0.75" header="0" footer="0"/>
  <pageSetup orientation="landscape" r:id="rId1"/>
  <ignoredErrors>
    <ignoredError sqref="J3 Q3 AG3 AN3" twoDigitTextYear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6A6790-A119-444B-BBB7-644848544E0F}">
  <dimension ref="A1:AV1139"/>
  <sheetViews>
    <sheetView workbookViewId="0">
      <pane xSplit="1" topLeftCell="B1" activePane="topRight" state="frozen"/>
      <selection pane="topRight" sqref="A1:Y1"/>
    </sheetView>
  </sheetViews>
  <sheetFormatPr baseColWidth="10" defaultColWidth="12.5703125" defaultRowHeight="15" customHeight="1" x14ac:dyDescent="0.25"/>
  <cols>
    <col min="1" max="1" width="25.7109375" customWidth="1"/>
    <col min="2" max="48" width="7.7109375" customWidth="1"/>
  </cols>
  <sheetData>
    <row r="1" spans="1:48" ht="24.95" customHeight="1" x14ac:dyDescent="0.4">
      <c r="A1" s="17" t="s">
        <v>24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  <c r="N1" s="17"/>
      <c r="O1" s="17"/>
      <c r="P1" s="17"/>
      <c r="Q1" s="17"/>
      <c r="R1" s="17"/>
      <c r="S1" s="17"/>
      <c r="T1" s="17"/>
      <c r="U1" s="17"/>
      <c r="V1" s="17"/>
      <c r="W1" s="17"/>
      <c r="X1" s="17"/>
      <c r="Y1" s="17"/>
      <c r="AB1" s="17"/>
      <c r="AC1" s="17"/>
      <c r="AD1" s="17"/>
      <c r="AE1" s="17"/>
      <c r="AF1" s="17"/>
      <c r="AG1" s="17"/>
      <c r="AH1" s="17"/>
      <c r="AI1" s="17"/>
      <c r="AJ1" s="17"/>
      <c r="AK1" s="17"/>
      <c r="AL1" s="17"/>
      <c r="AM1" s="17"/>
      <c r="AN1" s="17"/>
      <c r="AO1" s="17"/>
      <c r="AP1" s="17"/>
      <c r="AQ1" s="17"/>
      <c r="AR1" s="17"/>
      <c r="AS1" s="17"/>
      <c r="AT1" s="17"/>
      <c r="AU1" s="17"/>
      <c r="AV1" s="17"/>
    </row>
    <row r="2" spans="1:48" ht="26.25" x14ac:dyDescent="0.4">
      <c r="A2" s="11"/>
      <c r="B2" s="14"/>
      <c r="C2" s="14"/>
      <c r="D2" s="14"/>
      <c r="E2" s="14"/>
      <c r="F2" s="14"/>
      <c r="G2" s="18" t="s">
        <v>37</v>
      </c>
      <c r="H2" s="18"/>
      <c r="I2" s="18"/>
      <c r="J2" s="18"/>
      <c r="K2" s="18"/>
      <c r="L2" s="18"/>
      <c r="M2" s="14"/>
      <c r="N2" s="18" t="s">
        <v>38</v>
      </c>
      <c r="O2" s="18"/>
      <c r="P2" s="18"/>
      <c r="Q2" s="18"/>
      <c r="R2" s="18"/>
      <c r="S2" s="18"/>
      <c r="T2" s="14"/>
      <c r="U2" s="18" t="s">
        <v>39</v>
      </c>
      <c r="V2" s="18"/>
      <c r="W2" s="14"/>
      <c r="X2" s="18" t="s">
        <v>40</v>
      </c>
      <c r="Y2" s="18"/>
      <c r="AB2" s="16"/>
      <c r="AC2" s="16"/>
      <c r="AD2" s="18" t="s">
        <v>37</v>
      </c>
      <c r="AE2" s="18"/>
      <c r="AF2" s="18"/>
      <c r="AG2" s="18"/>
      <c r="AH2" s="18"/>
      <c r="AI2" s="18"/>
      <c r="AJ2" s="12"/>
      <c r="AK2" s="18" t="s">
        <v>38</v>
      </c>
      <c r="AL2" s="18"/>
      <c r="AM2" s="18"/>
      <c r="AN2" s="18"/>
      <c r="AO2" s="18"/>
      <c r="AP2" s="18"/>
      <c r="AQ2" s="12"/>
      <c r="AR2" s="18" t="s">
        <v>39</v>
      </c>
      <c r="AS2" s="18"/>
      <c r="AT2" s="12"/>
      <c r="AU2" s="18" t="s">
        <v>40</v>
      </c>
      <c r="AV2" s="18"/>
    </row>
    <row r="3" spans="1:48" x14ac:dyDescent="0.25">
      <c r="A3" s="13" t="s">
        <v>1</v>
      </c>
      <c r="B3" s="13" t="s">
        <v>25</v>
      </c>
      <c r="C3" s="13" t="s">
        <v>26</v>
      </c>
      <c r="D3" s="13" t="s">
        <v>27</v>
      </c>
      <c r="E3" s="13" t="s">
        <v>28</v>
      </c>
      <c r="F3" s="13"/>
      <c r="G3" s="13" t="s">
        <v>29</v>
      </c>
      <c r="H3" s="13" t="s">
        <v>30</v>
      </c>
      <c r="I3" s="15" t="s">
        <v>31</v>
      </c>
      <c r="J3" s="15" t="s">
        <v>32</v>
      </c>
      <c r="K3" s="15" t="s">
        <v>33</v>
      </c>
      <c r="L3" s="13" t="s">
        <v>34</v>
      </c>
      <c r="M3" s="13"/>
      <c r="N3" s="13" t="s">
        <v>29</v>
      </c>
      <c r="O3" s="13" t="s">
        <v>30</v>
      </c>
      <c r="P3" s="15" t="s">
        <v>31</v>
      </c>
      <c r="Q3" s="15" t="s">
        <v>32</v>
      </c>
      <c r="R3" s="15" t="s">
        <v>33</v>
      </c>
      <c r="S3" s="13" t="s">
        <v>34</v>
      </c>
      <c r="T3" s="13"/>
      <c r="U3" s="13" t="s">
        <v>29</v>
      </c>
      <c r="V3" s="13" t="s">
        <v>34</v>
      </c>
      <c r="W3" s="13"/>
      <c r="X3" s="13" t="s">
        <v>35</v>
      </c>
      <c r="Y3" s="13" t="s">
        <v>36</v>
      </c>
      <c r="AB3" s="13" t="s">
        <v>27</v>
      </c>
      <c r="AC3" s="13"/>
      <c r="AD3" s="13" t="s">
        <v>29</v>
      </c>
      <c r="AE3" s="13" t="s">
        <v>30</v>
      </c>
      <c r="AF3" s="15" t="s">
        <v>31</v>
      </c>
      <c r="AG3" s="15" t="s">
        <v>32</v>
      </c>
      <c r="AH3" s="15" t="s">
        <v>33</v>
      </c>
      <c r="AI3" s="13" t="s">
        <v>34</v>
      </c>
      <c r="AJ3" s="13"/>
      <c r="AK3" s="13" t="s">
        <v>29</v>
      </c>
      <c r="AL3" s="13" t="s">
        <v>30</v>
      </c>
      <c r="AM3" s="15" t="s">
        <v>31</v>
      </c>
      <c r="AN3" s="15" t="s">
        <v>32</v>
      </c>
      <c r="AO3" s="15" t="s">
        <v>33</v>
      </c>
      <c r="AP3" s="13" t="s">
        <v>34</v>
      </c>
      <c r="AQ3" s="13"/>
      <c r="AR3" s="13" t="s">
        <v>29</v>
      </c>
      <c r="AS3" s="13" t="s">
        <v>34</v>
      </c>
      <c r="AT3" s="13"/>
      <c r="AU3" s="13" t="s">
        <v>35</v>
      </c>
      <c r="AV3" s="13" t="s">
        <v>36</v>
      </c>
    </row>
    <row r="4" spans="1:48" x14ac:dyDescent="0.25">
      <c r="A4" s="6" t="s">
        <v>53</v>
      </c>
      <c r="B4" s="7">
        <v>44</v>
      </c>
      <c r="C4" s="1">
        <v>8825</v>
      </c>
      <c r="D4" s="9">
        <v>0.42899999999999999</v>
      </c>
      <c r="E4" s="9">
        <v>13</v>
      </c>
      <c r="F4" s="9"/>
      <c r="G4" s="9">
        <v>0.69599999999999995</v>
      </c>
      <c r="H4" s="9">
        <v>0.23100000000000001</v>
      </c>
      <c r="I4" s="9">
        <v>0.252</v>
      </c>
      <c r="J4" s="9">
        <v>0.11899999999999999</v>
      </c>
      <c r="K4" s="9">
        <v>9.4E-2</v>
      </c>
      <c r="L4" s="9">
        <v>0.30399999999999999</v>
      </c>
      <c r="M4" s="9"/>
      <c r="N4" s="9">
        <v>0.47599999999999998</v>
      </c>
      <c r="O4" s="9">
        <v>0.61099999999999999</v>
      </c>
      <c r="P4" s="9">
        <v>0.42199999999999999</v>
      </c>
      <c r="Q4" s="9">
        <v>0.38</v>
      </c>
      <c r="R4" s="9">
        <v>0.41199999999999998</v>
      </c>
      <c r="S4" s="9">
        <v>0.32100000000000001</v>
      </c>
      <c r="T4" s="9"/>
      <c r="U4" s="9">
        <v>0.59799999999999998</v>
      </c>
      <c r="V4" s="9">
        <v>0.82799999999999996</v>
      </c>
      <c r="W4" s="9"/>
      <c r="X4" s="10">
        <v>0.18099999999999999</v>
      </c>
      <c r="Y4" s="10">
        <v>0.33100000000000002</v>
      </c>
      <c r="Z4" s="5"/>
      <c r="AA4" s="5"/>
      <c r="AB4" s="5">
        <f t="shared" ref="AB4:AB16" si="0">RANK(D4,D$4:D$18,1)</f>
        <v>5</v>
      </c>
      <c r="AC4" s="5"/>
      <c r="AD4" s="5">
        <f t="shared" ref="AD4:AD16" si="1">RANK(G4,G$4:G$18,1)</f>
        <v>13</v>
      </c>
      <c r="AE4" s="5">
        <f t="shared" ref="AE4:AE16" si="2">RANK(H4,H$4:H$18,1)</f>
        <v>11</v>
      </c>
      <c r="AF4" s="5">
        <f t="shared" ref="AF4:AF16" si="3">RANK(I4,I$4:I$18,1)</f>
        <v>4</v>
      </c>
      <c r="AG4" s="5">
        <f t="shared" ref="AG4:AG16" si="4">RANK(J4,J$4:J$18,1)</f>
        <v>13</v>
      </c>
      <c r="AH4" s="5">
        <f t="shared" ref="AH4:AH16" si="5">RANK(K4,K$4:K$18,1)</f>
        <v>13</v>
      </c>
      <c r="AI4" s="5">
        <f t="shared" ref="AI4:AI16" si="6">RANK(L4,L$4:L$18,1)</f>
        <v>1</v>
      </c>
      <c r="AJ4" s="5"/>
      <c r="AK4" s="5">
        <f t="shared" ref="AK4:AK16" si="7">RANK(N4,N$4:N$18,1)</f>
        <v>3</v>
      </c>
      <c r="AL4" s="5">
        <f t="shared" ref="AL4:AL16" si="8">RANK(O4,O$4:O$18,1)</f>
        <v>1</v>
      </c>
      <c r="AM4" s="5">
        <f t="shared" ref="AM4:AM16" si="9">RANK(P4,P$4:P$18,1)</f>
        <v>4</v>
      </c>
      <c r="AN4" s="5">
        <f t="shared" ref="AN4:AN16" si="10">RANK(Q4,Q$4:Q$18,1)</f>
        <v>4</v>
      </c>
      <c r="AO4" s="5">
        <f t="shared" ref="AO4:AO16" si="11">RANK(R4,R$4:R$18,1)</f>
        <v>11</v>
      </c>
      <c r="AP4" s="5">
        <f t="shared" ref="AP4:AP16" si="12">RANK(S4,S$4:S$18,1)</f>
        <v>4</v>
      </c>
      <c r="AQ4" s="5"/>
      <c r="AR4" s="5">
        <f t="shared" ref="AR4:AR16" si="13">RANK(U4,U$4:U$18,1)</f>
        <v>3</v>
      </c>
      <c r="AS4" s="5">
        <f t="shared" ref="AS4:AS16" si="14">RANK(V4,V$4:V$18,1)</f>
        <v>1</v>
      </c>
      <c r="AT4" s="5"/>
      <c r="AU4" s="5">
        <f>RANK(X4,X$4:X$18,1)</f>
        <v>5</v>
      </c>
      <c r="AV4" s="5">
        <f>RANK(Y4,Y$4:Y$18,1)</f>
        <v>3</v>
      </c>
    </row>
    <row r="5" spans="1:48" x14ac:dyDescent="0.25">
      <c r="A5" s="6" t="s">
        <v>45</v>
      </c>
      <c r="B5" s="7">
        <v>44</v>
      </c>
      <c r="C5" s="1">
        <v>8800</v>
      </c>
      <c r="D5" s="9">
        <v>0.45200000000000001</v>
      </c>
      <c r="E5" s="9">
        <v>14</v>
      </c>
      <c r="F5" s="9"/>
      <c r="G5" s="9">
        <v>0.624</v>
      </c>
      <c r="H5" s="9">
        <v>0.24399999999999999</v>
      </c>
      <c r="I5" s="9">
        <v>0.20699999999999999</v>
      </c>
      <c r="J5" s="9">
        <v>8.6999999999999994E-2</v>
      </c>
      <c r="K5" s="9">
        <v>8.5999999999999993E-2</v>
      </c>
      <c r="L5" s="9">
        <v>0.376</v>
      </c>
      <c r="M5" s="9"/>
      <c r="N5" s="9">
        <v>0.504</v>
      </c>
      <c r="O5" s="9">
        <v>0.64700000000000002</v>
      </c>
      <c r="P5" s="9">
        <v>0.42099999999999999</v>
      </c>
      <c r="Q5" s="9">
        <v>0.374</v>
      </c>
      <c r="R5" s="9">
        <v>0.432</v>
      </c>
      <c r="S5" s="9">
        <v>0.36599999999999999</v>
      </c>
      <c r="T5" s="9"/>
      <c r="U5" s="9">
        <v>0.62</v>
      </c>
      <c r="V5" s="9">
        <v>0.85699999999999998</v>
      </c>
      <c r="W5" s="9"/>
      <c r="X5" s="10">
        <v>0.214</v>
      </c>
      <c r="Y5" s="10">
        <v>0.39300000000000002</v>
      </c>
      <c r="Z5" s="5"/>
      <c r="AA5" s="5"/>
      <c r="AB5" s="5">
        <f t="shared" si="0"/>
        <v>10</v>
      </c>
      <c r="AC5" s="5"/>
      <c r="AD5" s="5">
        <f t="shared" si="1"/>
        <v>3</v>
      </c>
      <c r="AE5" s="5">
        <f t="shared" si="2"/>
        <v>13</v>
      </c>
      <c r="AF5" s="5">
        <f t="shared" si="3"/>
        <v>1</v>
      </c>
      <c r="AG5" s="5">
        <f t="shared" si="4"/>
        <v>1</v>
      </c>
      <c r="AH5" s="5">
        <f t="shared" si="5"/>
        <v>11</v>
      </c>
      <c r="AI5" s="5">
        <f t="shared" si="6"/>
        <v>11</v>
      </c>
      <c r="AJ5" s="5"/>
      <c r="AK5" s="5">
        <f t="shared" si="7"/>
        <v>9</v>
      </c>
      <c r="AL5" s="5">
        <f t="shared" si="8"/>
        <v>5</v>
      </c>
      <c r="AM5" s="5">
        <f t="shared" si="9"/>
        <v>3</v>
      </c>
      <c r="AN5" s="5">
        <f t="shared" si="10"/>
        <v>1</v>
      </c>
      <c r="AO5" s="5">
        <f t="shared" si="11"/>
        <v>13</v>
      </c>
      <c r="AP5" s="5">
        <f t="shared" si="12"/>
        <v>11</v>
      </c>
      <c r="AQ5" s="5"/>
      <c r="AR5" s="5">
        <f t="shared" si="13"/>
        <v>10</v>
      </c>
      <c r="AS5" s="5">
        <f t="shared" si="14"/>
        <v>4</v>
      </c>
      <c r="AT5" s="5"/>
      <c r="AU5" s="5">
        <f t="shared" ref="AU5:AU16" si="15">RANK(X5,X$4:X$18,1)</f>
        <v>11</v>
      </c>
      <c r="AV5" s="5">
        <f t="shared" ref="AV5:AV16" si="16">RANK(Y5,Y$4:Y$18,1)</f>
        <v>12</v>
      </c>
    </row>
    <row r="6" spans="1:48" x14ac:dyDescent="0.25">
      <c r="A6" s="6" t="s">
        <v>46</v>
      </c>
      <c r="B6" s="7">
        <v>44</v>
      </c>
      <c r="C6" s="1">
        <v>8825</v>
      </c>
      <c r="D6" s="9">
        <v>0.46600000000000003</v>
      </c>
      <c r="E6" s="9">
        <v>13</v>
      </c>
      <c r="F6" s="9"/>
      <c r="G6" s="9">
        <v>0.63200000000000001</v>
      </c>
      <c r="H6" s="9">
        <v>0.23400000000000001</v>
      </c>
      <c r="I6" s="9">
        <v>0.249</v>
      </c>
      <c r="J6" s="9">
        <v>0.09</v>
      </c>
      <c r="K6" s="9">
        <v>5.8999999999999997E-2</v>
      </c>
      <c r="L6" s="9">
        <v>0.36799999999999999</v>
      </c>
      <c r="M6" s="9"/>
      <c r="N6" s="9">
        <v>0.53400000000000003</v>
      </c>
      <c r="O6" s="9">
        <v>0.66900000000000004</v>
      </c>
      <c r="P6" s="9">
        <v>0.495</v>
      </c>
      <c r="Q6" s="9">
        <v>0.39800000000000002</v>
      </c>
      <c r="R6" s="9">
        <v>0.36699999999999999</v>
      </c>
      <c r="S6" s="9">
        <v>0.34899999999999998</v>
      </c>
      <c r="T6" s="9"/>
      <c r="U6" s="9">
        <v>0.63500000000000001</v>
      </c>
      <c r="V6" s="9">
        <v>0.91100000000000003</v>
      </c>
      <c r="W6" s="9"/>
      <c r="X6" s="10">
        <v>0.214</v>
      </c>
      <c r="Y6" s="10">
        <v>0.39200000000000002</v>
      </c>
      <c r="Z6" s="5"/>
      <c r="AA6" s="5"/>
      <c r="AB6" s="5">
        <f t="shared" si="0"/>
        <v>13</v>
      </c>
      <c r="AC6" s="5"/>
      <c r="AD6" s="5">
        <f t="shared" si="1"/>
        <v>6</v>
      </c>
      <c r="AE6" s="5">
        <f t="shared" si="2"/>
        <v>12</v>
      </c>
      <c r="AF6" s="5">
        <f t="shared" si="3"/>
        <v>2</v>
      </c>
      <c r="AG6" s="5">
        <f t="shared" si="4"/>
        <v>3</v>
      </c>
      <c r="AH6" s="5">
        <f t="shared" si="5"/>
        <v>1</v>
      </c>
      <c r="AI6" s="5">
        <f t="shared" si="6"/>
        <v>8</v>
      </c>
      <c r="AJ6" s="5"/>
      <c r="AK6" s="5">
        <f t="shared" si="7"/>
        <v>13</v>
      </c>
      <c r="AL6" s="5">
        <f t="shared" si="8"/>
        <v>8</v>
      </c>
      <c r="AM6" s="5">
        <f t="shared" si="9"/>
        <v>13</v>
      </c>
      <c r="AN6" s="5">
        <f t="shared" si="10"/>
        <v>6</v>
      </c>
      <c r="AO6" s="5">
        <f t="shared" si="11"/>
        <v>5</v>
      </c>
      <c r="AP6" s="5">
        <f t="shared" si="12"/>
        <v>10</v>
      </c>
      <c r="AQ6" s="5"/>
      <c r="AR6" s="5">
        <f t="shared" si="13"/>
        <v>11</v>
      </c>
      <c r="AS6" s="5">
        <f t="shared" si="14"/>
        <v>12</v>
      </c>
      <c r="AT6" s="5"/>
      <c r="AU6" s="5">
        <f t="shared" si="15"/>
        <v>11</v>
      </c>
      <c r="AV6" s="5">
        <f t="shared" si="16"/>
        <v>11</v>
      </c>
    </row>
    <row r="7" spans="1:48" x14ac:dyDescent="0.25">
      <c r="A7" s="6" t="s">
        <v>44</v>
      </c>
      <c r="B7" s="7">
        <v>44</v>
      </c>
      <c r="C7" s="1">
        <v>8825</v>
      </c>
      <c r="D7" s="9">
        <v>0.45900000000000002</v>
      </c>
      <c r="E7" s="9">
        <v>14</v>
      </c>
      <c r="F7" s="9"/>
      <c r="G7" s="9">
        <v>0.63</v>
      </c>
      <c r="H7" s="9">
        <v>0.19</v>
      </c>
      <c r="I7" s="9">
        <v>0.27100000000000002</v>
      </c>
      <c r="J7" s="9">
        <v>0.107</v>
      </c>
      <c r="K7" s="9">
        <v>6.2E-2</v>
      </c>
      <c r="L7" s="9">
        <v>0.37</v>
      </c>
      <c r="M7" s="9"/>
      <c r="N7" s="9">
        <v>0.501</v>
      </c>
      <c r="O7" s="9">
        <v>0.67800000000000005</v>
      </c>
      <c r="P7" s="9">
        <v>0.42699999999999999</v>
      </c>
      <c r="Q7" s="9">
        <v>0.436</v>
      </c>
      <c r="R7" s="9">
        <v>0.39600000000000002</v>
      </c>
      <c r="S7" s="9">
        <v>0.38800000000000001</v>
      </c>
      <c r="T7" s="9"/>
      <c r="U7" s="9">
        <v>0.67300000000000004</v>
      </c>
      <c r="V7" s="9">
        <v>0.91200000000000003</v>
      </c>
      <c r="W7" s="9"/>
      <c r="X7" s="10">
        <v>0.20599999999999999</v>
      </c>
      <c r="Y7" s="10">
        <v>0.46400000000000002</v>
      </c>
      <c r="Z7" s="5"/>
      <c r="AA7" s="5"/>
      <c r="AB7" s="5">
        <f t="shared" si="0"/>
        <v>12</v>
      </c>
      <c r="AC7" s="5"/>
      <c r="AD7" s="5">
        <f t="shared" si="1"/>
        <v>5</v>
      </c>
      <c r="AE7" s="5">
        <f t="shared" si="2"/>
        <v>5</v>
      </c>
      <c r="AF7" s="5">
        <f t="shared" si="3"/>
        <v>9</v>
      </c>
      <c r="AG7" s="5">
        <f t="shared" si="4"/>
        <v>10</v>
      </c>
      <c r="AH7" s="5">
        <f t="shared" si="5"/>
        <v>3</v>
      </c>
      <c r="AI7" s="5">
        <f t="shared" si="6"/>
        <v>9</v>
      </c>
      <c r="AJ7" s="5"/>
      <c r="AK7" s="5">
        <f t="shared" si="7"/>
        <v>8</v>
      </c>
      <c r="AL7" s="5">
        <f t="shared" si="8"/>
        <v>10</v>
      </c>
      <c r="AM7" s="5">
        <f t="shared" si="9"/>
        <v>6</v>
      </c>
      <c r="AN7" s="5">
        <f t="shared" si="10"/>
        <v>13</v>
      </c>
      <c r="AO7" s="5">
        <f t="shared" si="11"/>
        <v>7</v>
      </c>
      <c r="AP7" s="5">
        <f t="shared" si="12"/>
        <v>13</v>
      </c>
      <c r="AQ7" s="5"/>
      <c r="AR7" s="5">
        <f t="shared" si="13"/>
        <v>13</v>
      </c>
      <c r="AS7" s="5">
        <f t="shared" si="14"/>
        <v>13</v>
      </c>
      <c r="AT7" s="5"/>
      <c r="AU7" s="5">
        <f t="shared" si="15"/>
        <v>8</v>
      </c>
      <c r="AV7" s="5">
        <f t="shared" si="16"/>
        <v>13</v>
      </c>
    </row>
    <row r="8" spans="1:48" x14ac:dyDescent="0.25">
      <c r="A8" s="6" t="s">
        <v>47</v>
      </c>
      <c r="B8" s="7">
        <v>44</v>
      </c>
      <c r="C8" s="1">
        <v>8825</v>
      </c>
      <c r="D8" s="9">
        <v>0.40500000000000003</v>
      </c>
      <c r="E8" s="9">
        <v>15</v>
      </c>
      <c r="F8" s="9"/>
      <c r="G8" s="9">
        <v>0.57699999999999996</v>
      </c>
      <c r="H8" s="9">
        <v>0.114</v>
      </c>
      <c r="I8" s="9">
        <v>0.28499999999999998</v>
      </c>
      <c r="J8" s="9">
        <v>9.1999999999999998E-2</v>
      </c>
      <c r="K8" s="9">
        <v>8.5999999999999993E-2</v>
      </c>
      <c r="L8" s="9">
        <v>0.42299999999999999</v>
      </c>
      <c r="M8" s="9"/>
      <c r="N8" s="9">
        <v>0.46899999999999997</v>
      </c>
      <c r="O8" s="9">
        <v>0.61599999999999999</v>
      </c>
      <c r="P8" s="9">
        <v>0.46400000000000002</v>
      </c>
      <c r="Q8" s="9">
        <v>0.40100000000000002</v>
      </c>
      <c r="R8" s="9">
        <v>0.35899999999999999</v>
      </c>
      <c r="S8" s="9">
        <v>0.317</v>
      </c>
      <c r="T8" s="9"/>
      <c r="U8" s="9">
        <v>0.63500000000000001</v>
      </c>
      <c r="V8" s="9">
        <v>0.89500000000000002</v>
      </c>
      <c r="W8" s="9"/>
      <c r="X8" s="10">
        <v>0.20599999999999999</v>
      </c>
      <c r="Y8" s="10">
        <v>0.33700000000000002</v>
      </c>
      <c r="Z8" s="5"/>
      <c r="AA8" s="5"/>
      <c r="AB8" s="5">
        <f t="shared" si="0"/>
        <v>1</v>
      </c>
      <c r="AC8" s="5"/>
      <c r="AD8" s="5">
        <f t="shared" si="1"/>
        <v>1</v>
      </c>
      <c r="AE8" s="5">
        <f t="shared" si="2"/>
        <v>1</v>
      </c>
      <c r="AF8" s="5">
        <f t="shared" si="3"/>
        <v>10</v>
      </c>
      <c r="AG8" s="5">
        <f t="shared" si="4"/>
        <v>5</v>
      </c>
      <c r="AH8" s="5">
        <f t="shared" si="5"/>
        <v>11</v>
      </c>
      <c r="AI8" s="5">
        <f t="shared" si="6"/>
        <v>13</v>
      </c>
      <c r="AJ8" s="5"/>
      <c r="AK8" s="5">
        <f t="shared" si="7"/>
        <v>1</v>
      </c>
      <c r="AL8" s="5">
        <f t="shared" si="8"/>
        <v>2</v>
      </c>
      <c r="AM8" s="5">
        <f t="shared" si="9"/>
        <v>10</v>
      </c>
      <c r="AN8" s="5">
        <f t="shared" si="10"/>
        <v>8</v>
      </c>
      <c r="AO8" s="5">
        <f t="shared" si="11"/>
        <v>3</v>
      </c>
      <c r="AP8" s="5">
        <f t="shared" si="12"/>
        <v>3</v>
      </c>
      <c r="AQ8" s="5"/>
      <c r="AR8" s="5">
        <f t="shared" si="13"/>
        <v>11</v>
      </c>
      <c r="AS8" s="5">
        <f t="shared" si="14"/>
        <v>10</v>
      </c>
      <c r="AT8" s="5"/>
      <c r="AU8" s="5">
        <f t="shared" si="15"/>
        <v>8</v>
      </c>
      <c r="AV8" s="5">
        <f t="shared" si="16"/>
        <v>4</v>
      </c>
    </row>
    <row r="9" spans="1:48" x14ac:dyDescent="0.25">
      <c r="A9" s="6" t="s">
        <v>51</v>
      </c>
      <c r="B9" s="7">
        <v>44</v>
      </c>
      <c r="C9" s="1">
        <v>8825</v>
      </c>
      <c r="D9" s="9">
        <v>0.44900000000000001</v>
      </c>
      <c r="E9" s="9">
        <v>13</v>
      </c>
      <c r="F9" s="9"/>
      <c r="G9" s="9">
        <v>0.67</v>
      </c>
      <c r="H9" s="9">
        <v>0.224</v>
      </c>
      <c r="I9" s="9">
        <v>0.27</v>
      </c>
      <c r="J9" s="9">
        <v>0.104</v>
      </c>
      <c r="K9" s="9">
        <v>7.0999999999999994E-2</v>
      </c>
      <c r="L9" s="9">
        <v>0.33</v>
      </c>
      <c r="M9" s="9"/>
      <c r="N9" s="9">
        <v>0.50900000000000001</v>
      </c>
      <c r="O9" s="9">
        <v>0.627</v>
      </c>
      <c r="P9" s="9">
        <v>0.48699999999999999</v>
      </c>
      <c r="Q9" s="9">
        <v>0.379</v>
      </c>
      <c r="R9" s="9">
        <v>0.40500000000000003</v>
      </c>
      <c r="S9" s="9">
        <v>0.32900000000000001</v>
      </c>
      <c r="T9" s="9"/>
      <c r="U9" s="9">
        <v>0.59</v>
      </c>
      <c r="V9" s="9">
        <v>0.86299999999999999</v>
      </c>
      <c r="W9" s="9"/>
      <c r="X9" s="10">
        <v>0.17100000000000001</v>
      </c>
      <c r="Y9" s="10">
        <v>0.36199999999999999</v>
      </c>
      <c r="Z9" s="5"/>
      <c r="AA9" s="5"/>
      <c r="AB9" s="5">
        <f t="shared" si="0"/>
        <v>9</v>
      </c>
      <c r="AC9" s="5"/>
      <c r="AD9" s="5">
        <f t="shared" si="1"/>
        <v>11</v>
      </c>
      <c r="AE9" s="5">
        <f t="shared" si="2"/>
        <v>10</v>
      </c>
      <c r="AF9" s="5">
        <f t="shared" si="3"/>
        <v>8</v>
      </c>
      <c r="AG9" s="5">
        <f t="shared" si="4"/>
        <v>9</v>
      </c>
      <c r="AH9" s="5">
        <f t="shared" si="5"/>
        <v>7</v>
      </c>
      <c r="AI9" s="5">
        <f t="shared" si="6"/>
        <v>3</v>
      </c>
      <c r="AJ9" s="5"/>
      <c r="AK9" s="5">
        <f t="shared" si="7"/>
        <v>10</v>
      </c>
      <c r="AL9" s="5">
        <f t="shared" si="8"/>
        <v>3</v>
      </c>
      <c r="AM9" s="5">
        <f t="shared" si="9"/>
        <v>12</v>
      </c>
      <c r="AN9" s="5">
        <f t="shared" si="10"/>
        <v>3</v>
      </c>
      <c r="AO9" s="5">
        <f t="shared" si="11"/>
        <v>9</v>
      </c>
      <c r="AP9" s="5">
        <f t="shared" si="12"/>
        <v>6</v>
      </c>
      <c r="AQ9" s="5"/>
      <c r="AR9" s="5">
        <f t="shared" si="13"/>
        <v>2</v>
      </c>
      <c r="AS9" s="5">
        <f t="shared" si="14"/>
        <v>5</v>
      </c>
      <c r="AT9" s="5"/>
      <c r="AU9" s="5">
        <f t="shared" si="15"/>
        <v>2</v>
      </c>
      <c r="AV9" s="5">
        <f t="shared" si="16"/>
        <v>6</v>
      </c>
    </row>
    <row r="10" spans="1:48" x14ac:dyDescent="0.25">
      <c r="A10" s="6" t="s">
        <v>42</v>
      </c>
      <c r="B10" s="7">
        <v>44</v>
      </c>
      <c r="C10" s="1">
        <v>8875</v>
      </c>
      <c r="D10" s="9">
        <v>0.45300000000000001</v>
      </c>
      <c r="E10" s="9">
        <v>14</v>
      </c>
      <c r="F10" s="9"/>
      <c r="G10" s="9">
        <v>0.61299999999999999</v>
      </c>
      <c r="H10" s="9">
        <v>0.20300000000000001</v>
      </c>
      <c r="I10" s="9">
        <v>0.249</v>
      </c>
      <c r="J10" s="9">
        <v>9.9000000000000005E-2</v>
      </c>
      <c r="K10" s="9">
        <v>6.0999999999999999E-2</v>
      </c>
      <c r="L10" s="9">
        <v>0.38700000000000001</v>
      </c>
      <c r="M10" s="9"/>
      <c r="N10" s="9">
        <v>0.50900000000000001</v>
      </c>
      <c r="O10" s="9">
        <v>0.68300000000000005</v>
      </c>
      <c r="P10" s="9">
        <v>0.42899999999999999</v>
      </c>
      <c r="Q10" s="9">
        <v>0.41</v>
      </c>
      <c r="R10" s="9">
        <v>0.41399999999999998</v>
      </c>
      <c r="S10" s="9">
        <v>0.36599999999999999</v>
      </c>
      <c r="T10" s="9"/>
      <c r="U10" s="9">
        <v>0.61</v>
      </c>
      <c r="V10" s="9">
        <v>0.89400000000000002</v>
      </c>
      <c r="W10" s="9"/>
      <c r="X10" s="10">
        <v>0.19500000000000001</v>
      </c>
      <c r="Y10" s="10">
        <v>0.36699999999999999</v>
      </c>
      <c r="Z10" s="5"/>
      <c r="AA10" s="5"/>
      <c r="AB10" s="5">
        <f t="shared" si="0"/>
        <v>11</v>
      </c>
      <c r="AC10" s="5"/>
      <c r="AD10" s="5">
        <f t="shared" si="1"/>
        <v>2</v>
      </c>
      <c r="AE10" s="5">
        <f t="shared" si="2"/>
        <v>7</v>
      </c>
      <c r="AF10" s="5">
        <f t="shared" si="3"/>
        <v>2</v>
      </c>
      <c r="AG10" s="5">
        <f t="shared" si="4"/>
        <v>7</v>
      </c>
      <c r="AH10" s="5">
        <f t="shared" si="5"/>
        <v>2</v>
      </c>
      <c r="AI10" s="5">
        <f t="shared" si="6"/>
        <v>12</v>
      </c>
      <c r="AJ10" s="5"/>
      <c r="AK10" s="5">
        <f t="shared" si="7"/>
        <v>10</v>
      </c>
      <c r="AL10" s="5">
        <f t="shared" si="8"/>
        <v>12</v>
      </c>
      <c r="AM10" s="5">
        <f t="shared" si="9"/>
        <v>7</v>
      </c>
      <c r="AN10" s="5">
        <f t="shared" si="10"/>
        <v>9</v>
      </c>
      <c r="AO10" s="5">
        <f t="shared" si="11"/>
        <v>12</v>
      </c>
      <c r="AP10" s="5">
        <f t="shared" si="12"/>
        <v>11</v>
      </c>
      <c r="AQ10" s="5"/>
      <c r="AR10" s="5">
        <f t="shared" si="13"/>
        <v>6</v>
      </c>
      <c r="AS10" s="5">
        <f t="shared" si="14"/>
        <v>9</v>
      </c>
      <c r="AT10" s="5"/>
      <c r="AU10" s="5">
        <f t="shared" si="15"/>
        <v>6</v>
      </c>
      <c r="AV10" s="5">
        <f t="shared" si="16"/>
        <v>7</v>
      </c>
    </row>
    <row r="11" spans="1:48" x14ac:dyDescent="0.25">
      <c r="A11" s="6" t="s">
        <v>50</v>
      </c>
      <c r="B11" s="7">
        <v>44</v>
      </c>
      <c r="C11" s="1">
        <v>8800</v>
      </c>
      <c r="D11" s="9">
        <v>0.436</v>
      </c>
      <c r="E11" s="9">
        <v>13</v>
      </c>
      <c r="F11" s="9"/>
      <c r="G11" s="9">
        <v>0.66700000000000004</v>
      </c>
      <c r="H11" s="9">
        <v>0.13400000000000001</v>
      </c>
      <c r="I11" s="9">
        <v>0.36199999999999999</v>
      </c>
      <c r="J11" s="9">
        <v>0.10299999999999999</v>
      </c>
      <c r="K11" s="9">
        <v>6.8000000000000005E-2</v>
      </c>
      <c r="L11" s="9">
        <v>0.33300000000000002</v>
      </c>
      <c r="M11" s="9"/>
      <c r="N11" s="9">
        <v>0.496</v>
      </c>
      <c r="O11" s="9">
        <v>0.66700000000000004</v>
      </c>
      <c r="P11" s="9">
        <v>0.47899999999999998</v>
      </c>
      <c r="Q11" s="9">
        <v>0.39400000000000002</v>
      </c>
      <c r="R11" s="9">
        <v>0.40500000000000003</v>
      </c>
      <c r="S11" s="9">
        <v>0.316</v>
      </c>
      <c r="T11" s="9"/>
      <c r="U11" s="9">
        <v>0.61299999999999999</v>
      </c>
      <c r="V11" s="9">
        <v>0.89600000000000002</v>
      </c>
      <c r="W11" s="9"/>
      <c r="X11" s="10">
        <v>0.16300000000000001</v>
      </c>
      <c r="Y11" s="10">
        <v>0.378</v>
      </c>
      <c r="Z11" s="5"/>
      <c r="AA11" s="5"/>
      <c r="AB11" s="5">
        <f t="shared" si="0"/>
        <v>6</v>
      </c>
      <c r="AC11" s="5"/>
      <c r="AD11" s="5">
        <f t="shared" si="1"/>
        <v>10</v>
      </c>
      <c r="AE11" s="5">
        <f t="shared" si="2"/>
        <v>2</v>
      </c>
      <c r="AF11" s="5">
        <f t="shared" si="3"/>
        <v>13</v>
      </c>
      <c r="AG11" s="5">
        <f t="shared" si="4"/>
        <v>8</v>
      </c>
      <c r="AH11" s="5">
        <f t="shared" si="5"/>
        <v>5</v>
      </c>
      <c r="AI11" s="5">
        <f t="shared" si="6"/>
        <v>4</v>
      </c>
      <c r="AJ11" s="5"/>
      <c r="AK11" s="5">
        <f t="shared" si="7"/>
        <v>7</v>
      </c>
      <c r="AL11" s="5">
        <f t="shared" si="8"/>
        <v>7</v>
      </c>
      <c r="AM11" s="5">
        <f t="shared" si="9"/>
        <v>11</v>
      </c>
      <c r="AN11" s="5">
        <f t="shared" si="10"/>
        <v>5</v>
      </c>
      <c r="AO11" s="5">
        <f t="shared" si="11"/>
        <v>9</v>
      </c>
      <c r="AP11" s="5">
        <f t="shared" si="12"/>
        <v>2</v>
      </c>
      <c r="AQ11" s="5"/>
      <c r="AR11" s="5">
        <f t="shared" si="13"/>
        <v>7</v>
      </c>
      <c r="AS11" s="5">
        <f t="shared" si="14"/>
        <v>11</v>
      </c>
      <c r="AT11" s="5"/>
      <c r="AU11" s="5">
        <f t="shared" si="15"/>
        <v>1</v>
      </c>
      <c r="AV11" s="5">
        <f t="shared" si="16"/>
        <v>10</v>
      </c>
    </row>
    <row r="12" spans="1:48" x14ac:dyDescent="0.25">
      <c r="A12" s="6" t="s">
        <v>54</v>
      </c>
      <c r="B12" s="7">
        <v>44</v>
      </c>
      <c r="C12" s="1">
        <v>8825</v>
      </c>
      <c r="D12" s="9">
        <v>0.42299999999999999</v>
      </c>
      <c r="E12" s="9">
        <v>13</v>
      </c>
      <c r="F12" s="9"/>
      <c r="G12" s="9">
        <v>0.64800000000000002</v>
      </c>
      <c r="H12" s="9">
        <v>0.21</v>
      </c>
      <c r="I12" s="9">
        <v>0.26</v>
      </c>
      <c r="J12" s="9">
        <v>0.11600000000000001</v>
      </c>
      <c r="K12" s="9">
        <v>6.2E-2</v>
      </c>
      <c r="L12" s="9">
        <v>0.35199999999999998</v>
      </c>
      <c r="M12" s="9"/>
      <c r="N12" s="9">
        <v>0.47299999999999998</v>
      </c>
      <c r="O12" s="9">
        <v>0.63700000000000001</v>
      </c>
      <c r="P12" s="9">
        <v>0.40600000000000003</v>
      </c>
      <c r="Q12" s="9">
        <v>0.39800000000000002</v>
      </c>
      <c r="R12" s="9">
        <v>0.33700000000000002</v>
      </c>
      <c r="S12" s="9">
        <v>0.33100000000000002</v>
      </c>
      <c r="T12" s="9"/>
      <c r="U12" s="9">
        <v>0.57399999999999995</v>
      </c>
      <c r="V12" s="9">
        <v>0.89300000000000002</v>
      </c>
      <c r="W12" s="9"/>
      <c r="X12" s="10">
        <v>0.20699999999999999</v>
      </c>
      <c r="Y12" s="10">
        <v>0.37</v>
      </c>
      <c r="Z12" s="5"/>
      <c r="AA12" s="5"/>
      <c r="AB12" s="5">
        <f t="shared" si="0"/>
        <v>2</v>
      </c>
      <c r="AC12" s="5"/>
      <c r="AD12" s="5">
        <f t="shared" si="1"/>
        <v>9</v>
      </c>
      <c r="AE12" s="5">
        <f t="shared" si="2"/>
        <v>9</v>
      </c>
      <c r="AF12" s="5">
        <f t="shared" si="3"/>
        <v>7</v>
      </c>
      <c r="AG12" s="5">
        <f t="shared" si="4"/>
        <v>12</v>
      </c>
      <c r="AH12" s="5">
        <f t="shared" si="5"/>
        <v>3</v>
      </c>
      <c r="AI12" s="5">
        <f t="shared" si="6"/>
        <v>5</v>
      </c>
      <c r="AJ12" s="5"/>
      <c r="AK12" s="5">
        <f t="shared" si="7"/>
        <v>2</v>
      </c>
      <c r="AL12" s="5">
        <f t="shared" si="8"/>
        <v>4</v>
      </c>
      <c r="AM12" s="5">
        <f t="shared" si="9"/>
        <v>1</v>
      </c>
      <c r="AN12" s="5">
        <f t="shared" si="10"/>
        <v>6</v>
      </c>
      <c r="AO12" s="5">
        <f t="shared" si="11"/>
        <v>1</v>
      </c>
      <c r="AP12" s="5">
        <f t="shared" si="12"/>
        <v>8</v>
      </c>
      <c r="AQ12" s="5"/>
      <c r="AR12" s="5">
        <f t="shared" si="13"/>
        <v>1</v>
      </c>
      <c r="AS12" s="5">
        <f t="shared" si="14"/>
        <v>8</v>
      </c>
      <c r="AT12" s="5"/>
      <c r="AU12" s="5">
        <f t="shared" si="15"/>
        <v>10</v>
      </c>
      <c r="AV12" s="5">
        <f t="shared" si="16"/>
        <v>8</v>
      </c>
    </row>
    <row r="13" spans="1:48" x14ac:dyDescent="0.25">
      <c r="A13" s="6" t="s">
        <v>52</v>
      </c>
      <c r="B13" s="7">
        <v>44</v>
      </c>
      <c r="C13" s="1">
        <v>8800</v>
      </c>
      <c r="D13" s="9">
        <v>0.42399999999999999</v>
      </c>
      <c r="E13" s="9">
        <v>14</v>
      </c>
      <c r="F13" s="9"/>
      <c r="G13" s="9">
        <v>0.628</v>
      </c>
      <c r="H13" s="9">
        <v>0.16700000000000001</v>
      </c>
      <c r="I13" s="9">
        <v>0.28799999999999998</v>
      </c>
      <c r="J13" s="9">
        <v>9.0999999999999998E-2</v>
      </c>
      <c r="K13" s="9">
        <v>8.2000000000000003E-2</v>
      </c>
      <c r="L13" s="9">
        <v>0.372</v>
      </c>
      <c r="M13" s="9"/>
      <c r="N13" s="9">
        <v>0.48799999999999999</v>
      </c>
      <c r="O13" s="9">
        <v>0.66600000000000004</v>
      </c>
      <c r="P13" s="9">
        <v>0.436</v>
      </c>
      <c r="Q13" s="9">
        <v>0.432</v>
      </c>
      <c r="R13" s="9">
        <v>0.371</v>
      </c>
      <c r="S13" s="9">
        <v>0.315</v>
      </c>
      <c r="T13" s="9"/>
      <c r="U13" s="9">
        <v>0.6</v>
      </c>
      <c r="V13" s="9">
        <v>0.85</v>
      </c>
      <c r="W13" s="9"/>
      <c r="X13" s="10">
        <v>0.19800000000000001</v>
      </c>
      <c r="Y13" s="10">
        <v>0.317</v>
      </c>
      <c r="Z13" s="5"/>
      <c r="AA13" s="5"/>
      <c r="AB13" s="5">
        <f t="shared" si="0"/>
        <v>3</v>
      </c>
      <c r="AC13" s="5"/>
      <c r="AD13" s="5">
        <f t="shared" si="1"/>
        <v>4</v>
      </c>
      <c r="AE13" s="5">
        <f t="shared" si="2"/>
        <v>3</v>
      </c>
      <c r="AF13" s="5">
        <f t="shared" si="3"/>
        <v>11</v>
      </c>
      <c r="AG13" s="5">
        <f t="shared" si="4"/>
        <v>4</v>
      </c>
      <c r="AH13" s="5">
        <f t="shared" si="5"/>
        <v>9</v>
      </c>
      <c r="AI13" s="5">
        <f t="shared" si="6"/>
        <v>10</v>
      </c>
      <c r="AJ13" s="5"/>
      <c r="AK13" s="5">
        <f t="shared" si="7"/>
        <v>4</v>
      </c>
      <c r="AL13" s="5">
        <f t="shared" si="8"/>
        <v>6</v>
      </c>
      <c r="AM13" s="5">
        <f t="shared" si="9"/>
        <v>9</v>
      </c>
      <c r="AN13" s="5">
        <f t="shared" si="10"/>
        <v>12</v>
      </c>
      <c r="AO13" s="5">
        <f t="shared" si="11"/>
        <v>6</v>
      </c>
      <c r="AP13" s="5">
        <f t="shared" si="12"/>
        <v>1</v>
      </c>
      <c r="AQ13" s="5"/>
      <c r="AR13" s="5">
        <f t="shared" si="13"/>
        <v>4</v>
      </c>
      <c r="AS13" s="5">
        <f t="shared" si="14"/>
        <v>3</v>
      </c>
      <c r="AT13" s="5"/>
      <c r="AU13" s="5">
        <f t="shared" si="15"/>
        <v>7</v>
      </c>
      <c r="AV13" s="5">
        <f t="shared" si="16"/>
        <v>2</v>
      </c>
    </row>
    <row r="14" spans="1:48" x14ac:dyDescent="0.25">
      <c r="A14" s="6" t="s">
        <v>49</v>
      </c>
      <c r="B14" s="7">
        <v>44</v>
      </c>
      <c r="C14" s="1">
        <v>8800</v>
      </c>
      <c r="D14" s="9">
        <v>0.42699999999999999</v>
      </c>
      <c r="E14" s="9">
        <v>14</v>
      </c>
      <c r="F14" s="9"/>
      <c r="G14" s="9">
        <v>0.63300000000000001</v>
      </c>
      <c r="H14" s="9">
        <v>0.193</v>
      </c>
      <c r="I14" s="9">
        <v>0.25900000000000001</v>
      </c>
      <c r="J14" s="9">
        <v>9.6000000000000002E-2</v>
      </c>
      <c r="K14" s="9">
        <v>8.4000000000000005E-2</v>
      </c>
      <c r="L14" s="9">
        <v>0.36699999999999999</v>
      </c>
      <c r="M14" s="9"/>
      <c r="N14" s="9">
        <v>0.48799999999999999</v>
      </c>
      <c r="O14" s="9">
        <v>0.68</v>
      </c>
      <c r="P14" s="9">
        <v>0.41499999999999998</v>
      </c>
      <c r="Q14" s="9">
        <v>0.41</v>
      </c>
      <c r="R14" s="9">
        <v>0.36399999999999999</v>
      </c>
      <c r="S14" s="9">
        <v>0.32100000000000001</v>
      </c>
      <c r="T14" s="9"/>
      <c r="U14" s="9">
        <v>0.61499999999999999</v>
      </c>
      <c r="V14" s="9">
        <v>0.88800000000000001</v>
      </c>
      <c r="W14" s="9"/>
      <c r="X14" s="10">
        <v>0.17899999999999999</v>
      </c>
      <c r="Y14" s="10">
        <v>0.34499999999999997</v>
      </c>
      <c r="Z14" s="5"/>
      <c r="AA14" s="5"/>
      <c r="AB14" s="5">
        <f t="shared" si="0"/>
        <v>4</v>
      </c>
      <c r="AC14" s="5"/>
      <c r="AD14" s="5">
        <f t="shared" si="1"/>
        <v>7</v>
      </c>
      <c r="AE14" s="5">
        <f t="shared" si="2"/>
        <v>6</v>
      </c>
      <c r="AF14" s="5">
        <f t="shared" si="3"/>
        <v>6</v>
      </c>
      <c r="AG14" s="5">
        <f t="shared" si="4"/>
        <v>6</v>
      </c>
      <c r="AH14" s="5">
        <f t="shared" si="5"/>
        <v>10</v>
      </c>
      <c r="AI14" s="5">
        <f t="shared" si="6"/>
        <v>6</v>
      </c>
      <c r="AJ14" s="5"/>
      <c r="AK14" s="5">
        <f t="shared" si="7"/>
        <v>4</v>
      </c>
      <c r="AL14" s="5">
        <f t="shared" si="8"/>
        <v>11</v>
      </c>
      <c r="AM14" s="5">
        <f t="shared" si="9"/>
        <v>2</v>
      </c>
      <c r="AN14" s="5">
        <f t="shared" si="10"/>
        <v>9</v>
      </c>
      <c r="AO14" s="5">
        <f t="shared" si="11"/>
        <v>4</v>
      </c>
      <c r="AP14" s="5">
        <f t="shared" si="12"/>
        <v>4</v>
      </c>
      <c r="AQ14" s="5"/>
      <c r="AR14" s="5">
        <f t="shared" si="13"/>
        <v>8</v>
      </c>
      <c r="AS14" s="5">
        <f t="shared" si="14"/>
        <v>6</v>
      </c>
      <c r="AT14" s="5"/>
      <c r="AU14" s="5">
        <f t="shared" si="15"/>
        <v>4</v>
      </c>
      <c r="AV14" s="5">
        <f t="shared" si="16"/>
        <v>5</v>
      </c>
    </row>
    <row r="15" spans="1:48" x14ac:dyDescent="0.25">
      <c r="A15" s="6" t="s">
        <v>48</v>
      </c>
      <c r="B15" s="7">
        <v>44</v>
      </c>
      <c r="C15" s="1">
        <v>8850</v>
      </c>
      <c r="D15" s="9">
        <v>0.443</v>
      </c>
      <c r="E15" s="9">
        <v>13</v>
      </c>
      <c r="F15" s="9"/>
      <c r="G15" s="9">
        <v>0.67800000000000005</v>
      </c>
      <c r="H15" s="9">
        <v>0.20699999999999999</v>
      </c>
      <c r="I15" s="9">
        <v>0.314</v>
      </c>
      <c r="J15" s="9">
        <v>8.6999999999999994E-2</v>
      </c>
      <c r="K15" s="9">
        <v>7.0000000000000007E-2</v>
      </c>
      <c r="L15" s="9">
        <v>0.32200000000000001</v>
      </c>
      <c r="M15" s="9"/>
      <c r="N15" s="9">
        <v>0.49299999999999999</v>
      </c>
      <c r="O15" s="9">
        <v>0.67700000000000005</v>
      </c>
      <c r="P15" s="9">
        <v>0.435</v>
      </c>
      <c r="Q15" s="9">
        <v>0.377</v>
      </c>
      <c r="R15" s="9">
        <v>0.35499999999999998</v>
      </c>
      <c r="S15" s="9">
        <v>0.33600000000000002</v>
      </c>
      <c r="T15" s="9"/>
      <c r="U15" s="9">
        <v>0.61599999999999999</v>
      </c>
      <c r="V15" s="9">
        <v>0.83399999999999996</v>
      </c>
      <c r="W15" s="9"/>
      <c r="X15" s="10">
        <v>0.17599999999999999</v>
      </c>
      <c r="Y15" s="10">
        <v>0.37</v>
      </c>
      <c r="Z15" s="5"/>
      <c r="AA15" s="5"/>
      <c r="AB15" s="5">
        <f t="shared" si="0"/>
        <v>7</v>
      </c>
      <c r="AC15" s="5"/>
      <c r="AD15" s="5">
        <f t="shared" si="1"/>
        <v>12</v>
      </c>
      <c r="AE15" s="5">
        <f t="shared" si="2"/>
        <v>8</v>
      </c>
      <c r="AF15" s="5">
        <f t="shared" si="3"/>
        <v>12</v>
      </c>
      <c r="AG15" s="5">
        <f t="shared" si="4"/>
        <v>1</v>
      </c>
      <c r="AH15" s="5">
        <f t="shared" si="5"/>
        <v>6</v>
      </c>
      <c r="AI15" s="5">
        <f t="shared" si="6"/>
        <v>2</v>
      </c>
      <c r="AJ15" s="5"/>
      <c r="AK15" s="5">
        <f t="shared" si="7"/>
        <v>6</v>
      </c>
      <c r="AL15" s="5">
        <f t="shared" si="8"/>
        <v>9</v>
      </c>
      <c r="AM15" s="5">
        <f t="shared" si="9"/>
        <v>8</v>
      </c>
      <c r="AN15" s="5">
        <f t="shared" si="10"/>
        <v>2</v>
      </c>
      <c r="AO15" s="5">
        <f t="shared" si="11"/>
        <v>2</v>
      </c>
      <c r="AP15" s="5">
        <f t="shared" si="12"/>
        <v>9</v>
      </c>
      <c r="AQ15" s="5"/>
      <c r="AR15" s="5">
        <f t="shared" si="13"/>
        <v>9</v>
      </c>
      <c r="AS15" s="5">
        <f t="shared" si="14"/>
        <v>2</v>
      </c>
      <c r="AT15" s="5"/>
      <c r="AU15" s="5">
        <f t="shared" si="15"/>
        <v>3</v>
      </c>
      <c r="AV15" s="5">
        <f t="shared" si="16"/>
        <v>8</v>
      </c>
    </row>
    <row r="16" spans="1:48" x14ac:dyDescent="0.25">
      <c r="A16" s="6" t="s">
        <v>43</v>
      </c>
      <c r="B16" s="7">
        <v>44</v>
      </c>
      <c r="C16" s="1">
        <v>8825</v>
      </c>
      <c r="D16" s="9">
        <v>0.44400000000000001</v>
      </c>
      <c r="E16" s="9">
        <v>14</v>
      </c>
      <c r="F16" s="9"/>
      <c r="G16" s="9">
        <v>0.63300000000000001</v>
      </c>
      <c r="H16" s="9">
        <v>0.186</v>
      </c>
      <c r="I16" s="9">
        <v>0.253</v>
      </c>
      <c r="J16" s="9">
        <v>0.112</v>
      </c>
      <c r="K16" s="9">
        <v>8.1000000000000003E-2</v>
      </c>
      <c r="L16" s="9">
        <v>0.36699999999999999</v>
      </c>
      <c r="M16" s="9"/>
      <c r="N16" s="9">
        <v>0.51100000000000001</v>
      </c>
      <c r="O16" s="9">
        <v>0.73199999999999998</v>
      </c>
      <c r="P16" s="9">
        <v>0.42399999999999999</v>
      </c>
      <c r="Q16" s="9">
        <v>0.41699999999999998</v>
      </c>
      <c r="R16" s="9">
        <v>0.40300000000000002</v>
      </c>
      <c r="S16" s="9">
        <v>0.33</v>
      </c>
      <c r="T16" s="9"/>
      <c r="U16" s="9">
        <v>0.60199999999999998</v>
      </c>
      <c r="V16" s="9">
        <v>0.89200000000000002</v>
      </c>
      <c r="W16" s="9"/>
      <c r="X16" s="10">
        <v>0.23400000000000001</v>
      </c>
      <c r="Y16" s="10">
        <v>0.3</v>
      </c>
      <c r="Z16" s="5"/>
      <c r="AA16" s="5"/>
      <c r="AB16" s="5">
        <f t="shared" si="0"/>
        <v>8</v>
      </c>
      <c r="AC16" s="5"/>
      <c r="AD16" s="5">
        <f t="shared" si="1"/>
        <v>7</v>
      </c>
      <c r="AE16" s="5">
        <f t="shared" si="2"/>
        <v>4</v>
      </c>
      <c r="AF16" s="5">
        <f t="shared" si="3"/>
        <v>5</v>
      </c>
      <c r="AG16" s="5">
        <f t="shared" si="4"/>
        <v>11</v>
      </c>
      <c r="AH16" s="5">
        <f t="shared" si="5"/>
        <v>8</v>
      </c>
      <c r="AI16" s="5">
        <f t="shared" si="6"/>
        <v>6</v>
      </c>
      <c r="AJ16" s="5"/>
      <c r="AK16" s="5">
        <f t="shared" si="7"/>
        <v>12</v>
      </c>
      <c r="AL16" s="5">
        <f t="shared" si="8"/>
        <v>13</v>
      </c>
      <c r="AM16" s="5">
        <f t="shared" si="9"/>
        <v>5</v>
      </c>
      <c r="AN16" s="5">
        <f t="shared" si="10"/>
        <v>11</v>
      </c>
      <c r="AO16" s="5">
        <f t="shared" si="11"/>
        <v>8</v>
      </c>
      <c r="AP16" s="5">
        <f t="shared" si="12"/>
        <v>7</v>
      </c>
      <c r="AQ16" s="5"/>
      <c r="AR16" s="5">
        <f t="shared" si="13"/>
        <v>5</v>
      </c>
      <c r="AS16" s="5">
        <f t="shared" si="14"/>
        <v>7</v>
      </c>
      <c r="AT16" s="5"/>
      <c r="AU16" s="5">
        <f t="shared" si="15"/>
        <v>13</v>
      </c>
      <c r="AV16" s="5">
        <f t="shared" si="16"/>
        <v>1</v>
      </c>
    </row>
    <row r="17" spans="1:48" x14ac:dyDescent="0.25">
      <c r="A17" s="6"/>
      <c r="B17" s="7"/>
      <c r="C17" s="1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10"/>
      <c r="Y17" s="10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  <c r="AO17" s="5"/>
      <c r="AP17" s="5"/>
      <c r="AQ17" s="5"/>
      <c r="AR17" s="5"/>
      <c r="AS17" s="5"/>
      <c r="AT17" s="5"/>
      <c r="AU17" s="5"/>
      <c r="AV17" s="5"/>
    </row>
    <row r="18" spans="1:48" x14ac:dyDescent="0.25">
      <c r="A18" s="6"/>
      <c r="B18" s="7"/>
      <c r="C18" s="1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10"/>
      <c r="Y18" s="10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  <c r="AO18" s="5"/>
      <c r="AP18" s="5"/>
      <c r="AQ18" s="5"/>
      <c r="AR18" s="5"/>
      <c r="AS18" s="5"/>
      <c r="AT18" s="5"/>
      <c r="AU18" s="5"/>
      <c r="AV18" s="5"/>
    </row>
    <row r="19" spans="1:48" x14ac:dyDescent="0.25">
      <c r="A19" s="4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</row>
    <row r="20" spans="1:48" x14ac:dyDescent="0.25">
      <c r="A20" s="4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</row>
    <row r="21" spans="1:48" x14ac:dyDescent="0.25">
      <c r="A21" s="4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5"/>
      <c r="Y21" s="5"/>
      <c r="Z21" s="5"/>
      <c r="AA21" s="5"/>
    </row>
    <row r="22" spans="1:48" ht="15.75" customHeight="1" x14ac:dyDescent="0.25">
      <c r="A22" s="4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5"/>
      <c r="Y22" s="5"/>
      <c r="Z22" s="5"/>
      <c r="AA22" s="5"/>
    </row>
    <row r="23" spans="1:48" ht="15.75" customHeight="1" x14ac:dyDescent="0.25">
      <c r="A23" s="4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</row>
    <row r="24" spans="1:48" ht="15.75" customHeight="1" x14ac:dyDescent="0.25">
      <c r="A24" s="6" t="s">
        <v>41</v>
      </c>
      <c r="B24" s="9">
        <f>AVERAGE(B4:B18)</f>
        <v>44</v>
      </c>
      <c r="C24" s="9">
        <f t="shared" ref="C24:Y24" si="17">AVERAGE(C4:C18)</f>
        <v>8823.0769230769238</v>
      </c>
      <c r="D24" s="9">
        <f t="shared" si="17"/>
        <v>0.43923076923076915</v>
      </c>
      <c r="E24" s="9">
        <f t="shared" si="17"/>
        <v>13.615384615384615</v>
      </c>
      <c r="F24" s="9"/>
      <c r="G24" s="9">
        <f t="shared" si="17"/>
        <v>0.64069230769230778</v>
      </c>
      <c r="H24" s="9">
        <f t="shared" si="17"/>
        <v>0.19515384615384615</v>
      </c>
      <c r="I24" s="9">
        <f t="shared" si="17"/>
        <v>0.27069230769230768</v>
      </c>
      <c r="J24" s="9">
        <f t="shared" si="17"/>
        <v>0.10023076923076925</v>
      </c>
      <c r="K24" s="9">
        <f t="shared" si="17"/>
        <v>7.4307692307692311E-2</v>
      </c>
      <c r="L24" s="9">
        <f t="shared" si="17"/>
        <v>0.35930769230769233</v>
      </c>
      <c r="M24" s="9"/>
      <c r="N24" s="9">
        <f t="shared" si="17"/>
        <v>0.4962307692307692</v>
      </c>
      <c r="O24" s="9">
        <f t="shared" si="17"/>
        <v>0.66076923076923066</v>
      </c>
      <c r="P24" s="9">
        <f t="shared" si="17"/>
        <v>0.44153846153846155</v>
      </c>
      <c r="Q24" s="9">
        <f t="shared" si="17"/>
        <v>0.40046153846153848</v>
      </c>
      <c r="R24" s="9">
        <f t="shared" si="17"/>
        <v>0.38615384615384613</v>
      </c>
      <c r="S24" s="9">
        <f t="shared" si="17"/>
        <v>0.33730769230769231</v>
      </c>
      <c r="T24" s="9"/>
      <c r="U24" s="9">
        <f t="shared" si="17"/>
        <v>0.6139230769230769</v>
      </c>
      <c r="V24" s="9">
        <f t="shared" si="17"/>
        <v>0.87792307692307681</v>
      </c>
      <c r="W24" s="9"/>
      <c r="X24" s="9">
        <f t="shared" si="17"/>
        <v>0.19569230769230769</v>
      </c>
      <c r="Y24" s="9">
        <f t="shared" si="17"/>
        <v>0.36353846153846153</v>
      </c>
      <c r="Z24" s="5"/>
      <c r="AA24" s="5"/>
    </row>
    <row r="25" spans="1:48" ht="15.75" customHeight="1" x14ac:dyDescent="0.25">
      <c r="A25" s="4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5"/>
      <c r="Y25" s="5"/>
      <c r="Z25" s="5"/>
      <c r="AA25" s="5"/>
    </row>
    <row r="26" spans="1:48" ht="15.75" customHeight="1" x14ac:dyDescent="0.25">
      <c r="A26" s="4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5"/>
      <c r="Y26" s="5"/>
      <c r="Z26" s="5"/>
      <c r="AA26" s="5"/>
    </row>
    <row r="27" spans="1:48" ht="15.75" customHeight="1" x14ac:dyDescent="0.25">
      <c r="A27" s="4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5"/>
      <c r="Y27" s="5"/>
      <c r="Z27" s="5"/>
      <c r="AA27" s="5"/>
    </row>
    <row r="28" spans="1:48" ht="15.75" customHeight="1" x14ac:dyDescent="0.25">
      <c r="A28" s="4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5"/>
      <c r="Y28" s="5"/>
      <c r="Z28" s="5"/>
      <c r="AA28" s="5"/>
    </row>
    <row r="29" spans="1:48" ht="15.75" customHeight="1" x14ac:dyDescent="0.25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5"/>
      <c r="Y29" s="5"/>
      <c r="Z29" s="5"/>
      <c r="AA29" s="5"/>
    </row>
    <row r="30" spans="1:48" ht="15.75" customHeight="1" x14ac:dyDescent="0.25">
      <c r="A30" s="4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5"/>
      <c r="Y30" s="5"/>
      <c r="Z30" s="5"/>
      <c r="AA30" s="5"/>
    </row>
    <row r="31" spans="1:48" ht="15.75" customHeight="1" x14ac:dyDescent="0.25">
      <c r="A31" s="4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5"/>
      <c r="Y31" s="5"/>
      <c r="Z31" s="5"/>
      <c r="AA31" s="5"/>
    </row>
    <row r="32" spans="1:48" ht="15.75" customHeight="1" x14ac:dyDescent="0.25">
      <c r="A32" s="4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5"/>
      <c r="Y32" s="5"/>
      <c r="Z32" s="5"/>
      <c r="AA32" s="5"/>
    </row>
    <row r="33" spans="1:27" ht="15.75" customHeight="1" x14ac:dyDescent="0.25">
      <c r="A33" s="4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5"/>
      <c r="Y33" s="5"/>
      <c r="Z33" s="5"/>
      <c r="AA33" s="5"/>
    </row>
    <row r="34" spans="1:27" ht="15.75" customHeight="1" x14ac:dyDescent="0.25">
      <c r="A34" s="4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5"/>
      <c r="Y34" s="5"/>
      <c r="Z34" s="5"/>
      <c r="AA34" s="5"/>
    </row>
    <row r="35" spans="1:27" ht="15.75" customHeight="1" x14ac:dyDescent="0.25">
      <c r="A35" s="4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5"/>
      <c r="Y35" s="5"/>
      <c r="Z35" s="5"/>
      <c r="AA35" s="5"/>
    </row>
    <row r="36" spans="1:27" ht="15.75" customHeight="1" x14ac:dyDescent="0.25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5"/>
      <c r="Y36" s="5"/>
      <c r="Z36" s="5"/>
      <c r="AA36" s="5"/>
    </row>
    <row r="37" spans="1:27" ht="15.75" customHeight="1" x14ac:dyDescent="0.25">
      <c r="A37" s="4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5"/>
      <c r="Y37" s="5"/>
      <c r="Z37" s="5"/>
      <c r="AA37" s="5"/>
    </row>
    <row r="38" spans="1:27" ht="15.75" customHeight="1" x14ac:dyDescent="0.25">
      <c r="A38" s="4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5"/>
      <c r="Y38" s="5"/>
      <c r="Z38" s="5"/>
      <c r="AA38" s="5"/>
    </row>
    <row r="39" spans="1:27" ht="15.75" customHeight="1" x14ac:dyDescent="0.25">
      <c r="A39" s="4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5"/>
      <c r="Y39" s="5"/>
      <c r="Z39" s="5"/>
      <c r="AA39" s="5"/>
    </row>
    <row r="40" spans="1:27" ht="15.75" customHeight="1" x14ac:dyDescent="0.25">
      <c r="A40" s="4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5"/>
      <c r="Y40" s="5"/>
      <c r="Z40" s="5"/>
      <c r="AA40" s="5"/>
    </row>
    <row r="41" spans="1:27" ht="15.75" customHeight="1" x14ac:dyDescent="0.25">
      <c r="A41" s="4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5"/>
      <c r="Y41" s="5"/>
      <c r="Z41" s="5"/>
      <c r="AA41" s="5"/>
    </row>
    <row r="42" spans="1:27" ht="15.75" customHeight="1" x14ac:dyDescent="0.25">
      <c r="A42" s="4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5"/>
      <c r="Y42" s="5"/>
      <c r="Z42" s="5"/>
      <c r="AA42" s="5"/>
    </row>
    <row r="43" spans="1:27" ht="15.75" customHeight="1" x14ac:dyDescent="0.25">
      <c r="A43" s="4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5"/>
      <c r="Y43" s="5"/>
      <c r="Z43" s="5"/>
      <c r="AA43" s="5"/>
    </row>
    <row r="44" spans="1:27" ht="15.75" customHeight="1" x14ac:dyDescent="0.25">
      <c r="A44" s="4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5"/>
      <c r="Y44" s="5"/>
      <c r="Z44" s="5"/>
      <c r="AA44" s="5"/>
    </row>
    <row r="45" spans="1:27" ht="15.75" customHeight="1" x14ac:dyDescent="0.25">
      <c r="A45" s="4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5"/>
      <c r="Y45" s="5"/>
      <c r="Z45" s="5"/>
      <c r="AA45" s="5"/>
    </row>
    <row r="46" spans="1:27" ht="15.75" customHeight="1" x14ac:dyDescent="0.25">
      <c r="A46" s="4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5"/>
      <c r="Y46" s="5"/>
      <c r="Z46" s="5"/>
      <c r="AA46" s="5"/>
    </row>
    <row r="47" spans="1:27" ht="15.75" customHeight="1" x14ac:dyDescent="0.25">
      <c r="A47" s="4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5"/>
      <c r="Y47" s="5"/>
      <c r="Z47" s="5"/>
      <c r="AA47" s="5"/>
    </row>
    <row r="48" spans="1:27" ht="15.75" customHeight="1" x14ac:dyDescent="0.25">
      <c r="A48" s="4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5"/>
      <c r="Y48" s="5"/>
      <c r="Z48" s="5"/>
      <c r="AA48" s="5"/>
    </row>
    <row r="49" spans="1:27" ht="15.75" customHeight="1" x14ac:dyDescent="0.25">
      <c r="A49" s="4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5"/>
      <c r="Y49" s="5"/>
      <c r="Z49" s="5"/>
      <c r="AA49" s="5"/>
    </row>
    <row r="50" spans="1:27" ht="15.75" customHeight="1" x14ac:dyDescent="0.25">
      <c r="A50" s="4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5"/>
      <c r="Y50" s="5"/>
      <c r="Z50" s="5"/>
      <c r="AA50" s="5"/>
    </row>
    <row r="51" spans="1:27" ht="15.75" customHeight="1" x14ac:dyDescent="0.25">
      <c r="A51" s="4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5"/>
      <c r="Y51" s="5"/>
      <c r="Z51" s="5"/>
      <c r="AA51" s="5"/>
    </row>
    <row r="52" spans="1:27" ht="15.75" customHeight="1" x14ac:dyDescent="0.25">
      <c r="A52" s="4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5"/>
      <c r="Y52" s="5"/>
      <c r="Z52" s="5"/>
      <c r="AA52" s="5"/>
    </row>
    <row r="53" spans="1:27" ht="15.75" customHeight="1" x14ac:dyDescent="0.25">
      <c r="A53" s="4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5"/>
      <c r="Y53" s="5"/>
      <c r="Z53" s="5"/>
      <c r="AA53" s="5"/>
    </row>
    <row r="54" spans="1:27" ht="15.75" customHeight="1" x14ac:dyDescent="0.25">
      <c r="A54" s="4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5"/>
      <c r="Y54" s="5"/>
      <c r="Z54" s="5"/>
      <c r="AA54" s="5"/>
    </row>
    <row r="55" spans="1:27" ht="15.75" customHeight="1" x14ac:dyDescent="0.25">
      <c r="A55" s="4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5"/>
      <c r="Y55" s="5"/>
      <c r="Z55" s="5"/>
      <c r="AA55" s="5"/>
    </row>
    <row r="56" spans="1:27" ht="15.75" customHeight="1" x14ac:dyDescent="0.25">
      <c r="A56" s="4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5"/>
      <c r="Y56" s="5"/>
      <c r="Z56" s="5"/>
      <c r="AA56" s="5"/>
    </row>
    <row r="57" spans="1:27" ht="15.75" customHeight="1" x14ac:dyDescent="0.25">
      <c r="A57" s="4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5"/>
      <c r="Y57" s="5"/>
      <c r="Z57" s="5"/>
      <c r="AA57" s="5"/>
    </row>
    <row r="58" spans="1:27" ht="15.75" customHeight="1" x14ac:dyDescent="0.25">
      <c r="A58" s="4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5"/>
      <c r="Y58" s="5"/>
      <c r="Z58" s="5"/>
      <c r="AA58" s="5"/>
    </row>
    <row r="59" spans="1:27" ht="15.75" customHeight="1" x14ac:dyDescent="0.25">
      <c r="A59" s="4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5"/>
      <c r="Y59" s="5"/>
      <c r="Z59" s="5"/>
      <c r="AA59" s="5"/>
    </row>
    <row r="60" spans="1:27" ht="15.75" customHeight="1" x14ac:dyDescent="0.25">
      <c r="A60" s="4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5"/>
      <c r="Y60" s="5"/>
      <c r="Z60" s="5"/>
      <c r="AA60" s="5"/>
    </row>
    <row r="61" spans="1:27" ht="15.75" customHeight="1" x14ac:dyDescent="0.25">
      <c r="A61" s="4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5"/>
      <c r="Y61" s="5"/>
      <c r="Z61" s="5"/>
      <c r="AA61" s="5"/>
    </row>
    <row r="62" spans="1:27" ht="15.75" customHeight="1" x14ac:dyDescent="0.25">
      <c r="A62" s="4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5"/>
      <c r="Y62" s="5"/>
      <c r="Z62" s="5"/>
      <c r="AA62" s="5"/>
    </row>
    <row r="63" spans="1:27" ht="15.75" customHeight="1" x14ac:dyDescent="0.25">
      <c r="A63" s="4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5"/>
      <c r="Y63" s="5"/>
      <c r="Z63" s="5"/>
      <c r="AA63" s="5"/>
    </row>
    <row r="64" spans="1:27" ht="15.75" customHeight="1" x14ac:dyDescent="0.25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5"/>
      <c r="Y64" s="5"/>
      <c r="Z64" s="5"/>
      <c r="AA64" s="5"/>
    </row>
    <row r="65" spans="1:27" ht="15.75" customHeight="1" x14ac:dyDescent="0.25">
      <c r="A65" s="4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5"/>
      <c r="Y65" s="5"/>
      <c r="Z65" s="5"/>
      <c r="AA65" s="5"/>
    </row>
    <row r="66" spans="1:27" ht="15.75" customHeight="1" x14ac:dyDescent="0.25">
      <c r="A66" s="4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5"/>
      <c r="Y66" s="5"/>
      <c r="Z66" s="5"/>
      <c r="AA66" s="5"/>
    </row>
    <row r="67" spans="1:27" ht="15.75" customHeight="1" x14ac:dyDescent="0.25">
      <c r="A67" s="4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5"/>
      <c r="Y67" s="5"/>
      <c r="Z67" s="5"/>
      <c r="AA67" s="5"/>
    </row>
    <row r="68" spans="1:27" ht="15.75" customHeight="1" x14ac:dyDescent="0.25">
      <c r="A68" s="4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5"/>
      <c r="Y68" s="5"/>
      <c r="Z68" s="5"/>
      <c r="AA68" s="5"/>
    </row>
    <row r="69" spans="1:27" ht="15.75" customHeight="1" x14ac:dyDescent="0.25">
      <c r="A69" s="4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5"/>
      <c r="Y69" s="5"/>
      <c r="Z69" s="5"/>
      <c r="AA69" s="5"/>
    </row>
    <row r="70" spans="1:27" ht="15.75" customHeight="1" x14ac:dyDescent="0.25">
      <c r="A70" s="4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5"/>
      <c r="Y70" s="5"/>
      <c r="Z70" s="5"/>
      <c r="AA70" s="5"/>
    </row>
    <row r="71" spans="1:27" ht="15.75" customHeight="1" x14ac:dyDescent="0.25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5"/>
      <c r="Y71" s="5"/>
      <c r="Z71" s="5"/>
      <c r="AA71" s="5"/>
    </row>
    <row r="72" spans="1:27" ht="15.75" customHeight="1" x14ac:dyDescent="0.25">
      <c r="A72" s="4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5"/>
      <c r="Y72" s="5"/>
      <c r="Z72" s="5"/>
      <c r="AA72" s="5"/>
    </row>
    <row r="73" spans="1:27" ht="15.75" customHeight="1" x14ac:dyDescent="0.25">
      <c r="A73" s="4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5"/>
      <c r="Y73" s="5"/>
      <c r="Z73" s="5"/>
      <c r="AA73" s="5"/>
    </row>
    <row r="74" spans="1:27" ht="15.75" customHeight="1" x14ac:dyDescent="0.25">
      <c r="A74" s="4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5"/>
      <c r="Y74" s="5"/>
      <c r="Z74" s="5"/>
      <c r="AA74" s="5"/>
    </row>
    <row r="75" spans="1:27" ht="15.75" customHeight="1" x14ac:dyDescent="0.25">
      <c r="A75" s="4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5"/>
      <c r="Y75" s="5"/>
      <c r="Z75" s="5"/>
      <c r="AA75" s="5"/>
    </row>
    <row r="76" spans="1:27" ht="15.75" customHeight="1" x14ac:dyDescent="0.25">
      <c r="A76" s="4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5"/>
      <c r="Y76" s="5"/>
      <c r="Z76" s="5"/>
      <c r="AA76" s="5"/>
    </row>
    <row r="77" spans="1:27" ht="15.75" customHeight="1" x14ac:dyDescent="0.25">
      <c r="A77" s="4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5"/>
      <c r="Y77" s="5"/>
      <c r="Z77" s="5"/>
      <c r="AA77" s="5"/>
    </row>
    <row r="78" spans="1:27" ht="15.75" customHeight="1" x14ac:dyDescent="0.25">
      <c r="A78" s="4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5"/>
      <c r="Y78" s="5"/>
      <c r="Z78" s="5"/>
      <c r="AA78" s="5"/>
    </row>
    <row r="79" spans="1:27" ht="15.75" customHeight="1" x14ac:dyDescent="0.25">
      <c r="A79" s="4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5"/>
      <c r="Y79" s="5"/>
      <c r="Z79" s="5"/>
      <c r="AA79" s="5"/>
    </row>
    <row r="80" spans="1:27" ht="15.75" customHeight="1" x14ac:dyDescent="0.25">
      <c r="A80" s="4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5"/>
      <c r="Y80" s="5"/>
      <c r="Z80" s="5"/>
      <c r="AA80" s="5"/>
    </row>
    <row r="81" spans="1:27" ht="15.75" customHeight="1" x14ac:dyDescent="0.25">
      <c r="A81" s="4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5"/>
      <c r="Y81" s="5"/>
      <c r="Z81" s="5"/>
      <c r="AA81" s="5"/>
    </row>
    <row r="82" spans="1:27" ht="15.75" customHeight="1" x14ac:dyDescent="0.25">
      <c r="A82" s="4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5"/>
      <c r="Y82" s="5"/>
      <c r="Z82" s="5"/>
      <c r="AA82" s="5"/>
    </row>
    <row r="83" spans="1:27" ht="15.75" customHeight="1" x14ac:dyDescent="0.25">
      <c r="A83" s="4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5"/>
      <c r="Y83" s="5"/>
      <c r="Z83" s="5"/>
      <c r="AA83" s="5"/>
    </row>
    <row r="84" spans="1:27" ht="15.75" customHeight="1" x14ac:dyDescent="0.25">
      <c r="A84" s="4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5"/>
      <c r="Y84" s="5"/>
      <c r="Z84" s="5"/>
      <c r="AA84" s="5"/>
    </row>
    <row r="85" spans="1:27" ht="15.75" customHeight="1" x14ac:dyDescent="0.25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5"/>
      <c r="Y85" s="5"/>
      <c r="Z85" s="5"/>
      <c r="AA85" s="5"/>
    </row>
    <row r="86" spans="1:27" ht="15.75" customHeight="1" x14ac:dyDescent="0.25">
      <c r="A86" s="4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5"/>
      <c r="Y86" s="5"/>
      <c r="Z86" s="5"/>
      <c r="AA86" s="5"/>
    </row>
    <row r="87" spans="1:27" ht="15.75" customHeight="1" x14ac:dyDescent="0.25">
      <c r="A87" s="4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5"/>
      <c r="Y87" s="5"/>
      <c r="Z87" s="5"/>
      <c r="AA87" s="5"/>
    </row>
    <row r="88" spans="1:27" ht="15.75" customHeight="1" x14ac:dyDescent="0.25">
      <c r="A88" s="4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5"/>
      <c r="Y88" s="5"/>
      <c r="Z88" s="5"/>
      <c r="AA88" s="5"/>
    </row>
    <row r="89" spans="1:27" ht="15.75" customHeight="1" x14ac:dyDescent="0.25">
      <c r="A89" s="4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5"/>
      <c r="Y89" s="5"/>
      <c r="Z89" s="5"/>
      <c r="AA89" s="5"/>
    </row>
    <row r="90" spans="1:27" ht="15.75" customHeight="1" x14ac:dyDescent="0.25">
      <c r="A90" s="4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5"/>
      <c r="Y90" s="5"/>
      <c r="Z90" s="5"/>
      <c r="AA90" s="5"/>
    </row>
    <row r="91" spans="1:27" ht="15.75" customHeight="1" x14ac:dyDescent="0.25">
      <c r="A91" s="4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5"/>
      <c r="Y91" s="5"/>
      <c r="Z91" s="5"/>
      <c r="AA91" s="5"/>
    </row>
    <row r="92" spans="1:27" ht="15.75" customHeight="1" x14ac:dyDescent="0.25">
      <c r="A92" s="4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5"/>
      <c r="Y92" s="5"/>
      <c r="Z92" s="5"/>
      <c r="AA92" s="5"/>
    </row>
    <row r="93" spans="1:27" ht="15.75" customHeight="1" x14ac:dyDescent="0.25">
      <c r="A93" s="4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5"/>
      <c r="Y93" s="5"/>
      <c r="Z93" s="5"/>
      <c r="AA93" s="5"/>
    </row>
    <row r="94" spans="1:27" ht="15.75" customHeight="1" x14ac:dyDescent="0.25">
      <c r="A94" s="4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5"/>
      <c r="Y94" s="5"/>
      <c r="Z94" s="5"/>
      <c r="AA94" s="5"/>
    </row>
    <row r="95" spans="1:27" ht="15.75" customHeight="1" x14ac:dyDescent="0.25">
      <c r="A95" s="4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5"/>
      <c r="Y95" s="5"/>
      <c r="Z95" s="5"/>
      <c r="AA95" s="5"/>
    </row>
    <row r="96" spans="1:27" ht="15.75" customHeight="1" x14ac:dyDescent="0.25">
      <c r="A96" s="4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5"/>
      <c r="Y96" s="5"/>
      <c r="Z96" s="5"/>
      <c r="AA96" s="5"/>
    </row>
    <row r="97" spans="1:27" ht="15.75" customHeight="1" x14ac:dyDescent="0.25">
      <c r="A97" s="4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5"/>
      <c r="Y97" s="5"/>
      <c r="Z97" s="5"/>
      <c r="AA97" s="5"/>
    </row>
    <row r="98" spans="1:27" ht="15.75" customHeight="1" x14ac:dyDescent="0.25">
      <c r="A98" s="4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5"/>
      <c r="Y98" s="5"/>
      <c r="Z98" s="5"/>
      <c r="AA98" s="5"/>
    </row>
    <row r="99" spans="1:27" ht="15.75" customHeight="1" x14ac:dyDescent="0.25">
      <c r="A99" s="4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5"/>
      <c r="Y99" s="5"/>
      <c r="Z99" s="5"/>
      <c r="AA99" s="5"/>
    </row>
    <row r="100" spans="1:27" ht="15.75" customHeight="1" x14ac:dyDescent="0.25">
      <c r="A100" s="4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5"/>
      <c r="Y100" s="5"/>
      <c r="Z100" s="5"/>
      <c r="AA100" s="5"/>
    </row>
    <row r="101" spans="1:27" ht="15.75" customHeight="1" x14ac:dyDescent="0.25">
      <c r="A101" s="4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5"/>
      <c r="Y101" s="5"/>
      <c r="Z101" s="5"/>
      <c r="AA101" s="5"/>
    </row>
    <row r="102" spans="1:27" ht="15.75" customHeight="1" x14ac:dyDescent="0.25">
      <c r="A102" s="4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5"/>
      <c r="Y102" s="5"/>
      <c r="Z102" s="5"/>
      <c r="AA102" s="5"/>
    </row>
    <row r="103" spans="1:27" ht="15.75" customHeight="1" x14ac:dyDescent="0.25">
      <c r="A103" s="4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5"/>
      <c r="Y103" s="5"/>
      <c r="Z103" s="5"/>
      <c r="AA103" s="5"/>
    </row>
    <row r="104" spans="1:27" ht="15.75" customHeight="1" x14ac:dyDescent="0.25">
      <c r="A104" s="4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5"/>
      <c r="Y104" s="5"/>
      <c r="Z104" s="5"/>
      <c r="AA104" s="5"/>
    </row>
    <row r="105" spans="1:27" ht="15.75" customHeight="1" x14ac:dyDescent="0.25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5"/>
      <c r="Y105" s="5"/>
      <c r="Z105" s="5"/>
      <c r="AA105" s="5"/>
    </row>
    <row r="106" spans="1:27" ht="15.75" customHeight="1" x14ac:dyDescent="0.25">
      <c r="A106" s="4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5"/>
      <c r="Y106" s="5"/>
      <c r="Z106" s="5"/>
      <c r="AA106" s="5"/>
    </row>
    <row r="107" spans="1:27" ht="15.75" customHeight="1" x14ac:dyDescent="0.25">
      <c r="A107" s="4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5"/>
      <c r="Y107" s="5"/>
      <c r="Z107" s="5"/>
      <c r="AA107" s="5"/>
    </row>
    <row r="108" spans="1:27" ht="15.75" customHeight="1" x14ac:dyDescent="0.25">
      <c r="A108" s="4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5"/>
      <c r="Y108" s="5"/>
      <c r="Z108" s="5"/>
      <c r="AA108" s="5"/>
    </row>
    <row r="109" spans="1:27" ht="15.75" customHeight="1" x14ac:dyDescent="0.25">
      <c r="A109" s="4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5"/>
      <c r="Y109" s="5"/>
      <c r="Z109" s="5"/>
      <c r="AA109" s="5"/>
    </row>
    <row r="110" spans="1:27" ht="15.75" customHeight="1" x14ac:dyDescent="0.25">
      <c r="A110" s="4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5"/>
      <c r="Y110" s="5"/>
      <c r="Z110" s="5"/>
      <c r="AA110" s="5"/>
    </row>
    <row r="111" spans="1:27" ht="15.75" customHeight="1" x14ac:dyDescent="0.25">
      <c r="A111" s="4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5"/>
      <c r="Y111" s="5"/>
      <c r="Z111" s="5"/>
      <c r="AA111" s="5"/>
    </row>
    <row r="112" spans="1:27" ht="15.75" customHeight="1" x14ac:dyDescent="0.25">
      <c r="A112" s="4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5"/>
      <c r="Y112" s="5"/>
      <c r="Z112" s="5"/>
      <c r="AA112" s="5"/>
    </row>
    <row r="113" spans="1:27" ht="15.75" customHeight="1" x14ac:dyDescent="0.25">
      <c r="A113" s="4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5"/>
      <c r="Y113" s="5"/>
      <c r="Z113" s="5"/>
      <c r="AA113" s="5"/>
    </row>
    <row r="114" spans="1:27" ht="15.75" customHeight="1" x14ac:dyDescent="0.25">
      <c r="A114" s="4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5"/>
      <c r="Y114" s="5"/>
      <c r="Z114" s="5"/>
      <c r="AA114" s="5"/>
    </row>
    <row r="115" spans="1:27" ht="15.75" customHeight="1" x14ac:dyDescent="0.25">
      <c r="A115" s="4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5"/>
      <c r="Y115" s="5"/>
      <c r="Z115" s="5"/>
      <c r="AA115" s="5"/>
    </row>
    <row r="116" spans="1:27" ht="15.75" customHeight="1" x14ac:dyDescent="0.25">
      <c r="A116" s="4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5"/>
      <c r="Y116" s="5"/>
      <c r="Z116" s="5"/>
      <c r="AA116" s="5"/>
    </row>
    <row r="117" spans="1:27" ht="15.75" customHeight="1" x14ac:dyDescent="0.25">
      <c r="A117" s="4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5"/>
      <c r="Y117" s="5"/>
      <c r="Z117" s="5"/>
      <c r="AA117" s="5"/>
    </row>
    <row r="118" spans="1:27" ht="15.75" customHeight="1" x14ac:dyDescent="0.25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5"/>
      <c r="Y118" s="5"/>
      <c r="Z118" s="5"/>
      <c r="AA118" s="5"/>
    </row>
    <row r="119" spans="1:27" ht="15.75" customHeight="1" x14ac:dyDescent="0.25">
      <c r="A119" s="4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5"/>
      <c r="Y119" s="5"/>
      <c r="Z119" s="5"/>
      <c r="AA119" s="5"/>
    </row>
    <row r="120" spans="1:27" ht="15.75" customHeight="1" x14ac:dyDescent="0.25">
      <c r="A120" s="4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5"/>
      <c r="Y120" s="5"/>
      <c r="Z120" s="5"/>
      <c r="AA120" s="5"/>
    </row>
    <row r="121" spans="1:27" ht="15.75" customHeight="1" x14ac:dyDescent="0.25">
      <c r="A121" s="4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5"/>
      <c r="Y121" s="5"/>
      <c r="Z121" s="5"/>
      <c r="AA121" s="5"/>
    </row>
    <row r="122" spans="1:27" ht="15.75" customHeight="1" x14ac:dyDescent="0.25">
      <c r="A122" s="4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5"/>
      <c r="Y122" s="5"/>
      <c r="Z122" s="5"/>
      <c r="AA122" s="5"/>
    </row>
    <row r="123" spans="1:27" ht="15.75" customHeight="1" x14ac:dyDescent="0.25">
      <c r="A123" s="4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5"/>
      <c r="Y123" s="5"/>
      <c r="Z123" s="5"/>
      <c r="AA123" s="5"/>
    </row>
    <row r="124" spans="1:27" ht="15.75" customHeight="1" x14ac:dyDescent="0.25">
      <c r="A124" s="4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5"/>
      <c r="Y124" s="5"/>
      <c r="Z124" s="5"/>
      <c r="AA124" s="5"/>
    </row>
    <row r="125" spans="1:27" ht="15.75" customHeight="1" x14ac:dyDescent="0.25">
      <c r="A125" s="4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5"/>
      <c r="Y125" s="5"/>
      <c r="Z125" s="5"/>
      <c r="AA125" s="5"/>
    </row>
    <row r="126" spans="1:27" ht="15.75" customHeight="1" x14ac:dyDescent="0.25">
      <c r="A126" s="4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5"/>
      <c r="Y126" s="5"/>
      <c r="Z126" s="5"/>
      <c r="AA126" s="5"/>
    </row>
    <row r="127" spans="1:27" ht="15.75" customHeight="1" x14ac:dyDescent="0.25">
      <c r="A127" s="4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5"/>
      <c r="Y127" s="5"/>
      <c r="Z127" s="5"/>
      <c r="AA127" s="5"/>
    </row>
    <row r="128" spans="1:27" ht="15.75" customHeight="1" x14ac:dyDescent="0.25">
      <c r="A128" s="4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5"/>
      <c r="Y128" s="5"/>
      <c r="Z128" s="5"/>
      <c r="AA128" s="5"/>
    </row>
    <row r="129" spans="1:27" ht="15.75" customHeight="1" x14ac:dyDescent="0.25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5"/>
      <c r="Y129" s="5"/>
      <c r="Z129" s="5"/>
      <c r="AA129" s="5"/>
    </row>
    <row r="130" spans="1:27" ht="15.75" customHeight="1" x14ac:dyDescent="0.25">
      <c r="A130" s="4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5"/>
      <c r="Y130" s="5"/>
      <c r="Z130" s="5"/>
      <c r="AA130" s="5"/>
    </row>
    <row r="131" spans="1:27" ht="15.75" customHeight="1" x14ac:dyDescent="0.25">
      <c r="A131" s="4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5"/>
      <c r="Y131" s="5"/>
      <c r="Z131" s="5"/>
      <c r="AA131" s="5"/>
    </row>
    <row r="132" spans="1:27" ht="15.75" customHeight="1" x14ac:dyDescent="0.25">
      <c r="A132" s="4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5"/>
      <c r="Y132" s="5"/>
      <c r="Z132" s="5"/>
      <c r="AA132" s="5"/>
    </row>
    <row r="133" spans="1:27" ht="15.75" customHeight="1" x14ac:dyDescent="0.25">
      <c r="A133" s="4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5"/>
      <c r="Y133" s="5"/>
      <c r="Z133" s="5"/>
      <c r="AA133" s="5"/>
    </row>
    <row r="134" spans="1:27" ht="15.75" customHeight="1" x14ac:dyDescent="0.25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5"/>
      <c r="Y134" s="5"/>
      <c r="Z134" s="5"/>
      <c r="AA134" s="5"/>
    </row>
    <row r="135" spans="1:27" ht="15.75" customHeight="1" x14ac:dyDescent="0.25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5"/>
      <c r="Y135" s="5"/>
      <c r="Z135" s="5"/>
      <c r="AA135" s="5"/>
    </row>
    <row r="136" spans="1:27" ht="15.75" customHeight="1" x14ac:dyDescent="0.25">
      <c r="A136" s="4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5"/>
      <c r="Y136" s="5"/>
      <c r="Z136" s="5"/>
      <c r="AA136" s="5"/>
    </row>
    <row r="137" spans="1:27" ht="15.75" customHeight="1" x14ac:dyDescent="0.25">
      <c r="A137" s="4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5"/>
      <c r="Y137" s="5"/>
      <c r="Z137" s="5"/>
      <c r="AA137" s="5"/>
    </row>
    <row r="138" spans="1:27" ht="15.75" customHeight="1" x14ac:dyDescent="0.25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5"/>
      <c r="Y138" s="5"/>
      <c r="Z138" s="5"/>
      <c r="AA138" s="5"/>
    </row>
    <row r="139" spans="1:27" ht="15.75" customHeight="1" x14ac:dyDescent="0.25">
      <c r="A139" s="4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5"/>
      <c r="Y139" s="5"/>
      <c r="Z139" s="5"/>
      <c r="AA139" s="5"/>
    </row>
    <row r="140" spans="1:27" ht="15.75" customHeight="1" x14ac:dyDescent="0.25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5"/>
      <c r="Y140" s="5"/>
      <c r="Z140" s="5"/>
      <c r="AA140" s="5"/>
    </row>
    <row r="141" spans="1:27" ht="15.75" customHeight="1" x14ac:dyDescent="0.25">
      <c r="A141" s="4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5"/>
      <c r="Y141" s="5"/>
      <c r="Z141" s="5"/>
      <c r="AA141" s="5"/>
    </row>
    <row r="142" spans="1:27" ht="15.75" customHeight="1" x14ac:dyDescent="0.25">
      <c r="A142" s="4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5"/>
      <c r="Y142" s="5"/>
      <c r="Z142" s="5"/>
      <c r="AA142" s="5"/>
    </row>
    <row r="143" spans="1:27" ht="15.75" customHeight="1" x14ac:dyDescent="0.25">
      <c r="A143" s="4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5"/>
      <c r="Y143" s="5"/>
      <c r="Z143" s="5"/>
      <c r="AA143" s="5"/>
    </row>
    <row r="144" spans="1:27" ht="15.75" customHeight="1" x14ac:dyDescent="0.25">
      <c r="A144" s="4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5"/>
      <c r="Y144" s="5"/>
      <c r="Z144" s="5"/>
      <c r="AA144" s="5"/>
    </row>
    <row r="145" spans="1:27" ht="15.75" customHeight="1" x14ac:dyDescent="0.25">
      <c r="A145" s="4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5"/>
      <c r="Y145" s="5"/>
      <c r="Z145" s="5"/>
      <c r="AA145" s="5"/>
    </row>
    <row r="146" spans="1:27" ht="15.75" customHeight="1" x14ac:dyDescent="0.25">
      <c r="A146" s="4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5"/>
      <c r="Y146" s="5"/>
      <c r="Z146" s="5"/>
      <c r="AA146" s="5"/>
    </row>
    <row r="147" spans="1:27" ht="15.75" customHeight="1" x14ac:dyDescent="0.25">
      <c r="A147" s="4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5"/>
      <c r="Y147" s="5"/>
      <c r="Z147" s="5"/>
      <c r="AA147" s="5"/>
    </row>
    <row r="148" spans="1:27" ht="15.75" customHeight="1" x14ac:dyDescent="0.25">
      <c r="A148" s="4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5"/>
      <c r="Y148" s="5"/>
      <c r="Z148" s="5"/>
      <c r="AA148" s="5"/>
    </row>
    <row r="149" spans="1:27" ht="15.75" customHeight="1" x14ac:dyDescent="0.25">
      <c r="A149" s="4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5"/>
      <c r="Y149" s="5"/>
      <c r="Z149" s="5"/>
      <c r="AA149" s="5"/>
    </row>
    <row r="150" spans="1:27" ht="15.75" customHeight="1" x14ac:dyDescent="0.25">
      <c r="A150" s="4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5"/>
      <c r="Y150" s="5"/>
      <c r="Z150" s="5"/>
      <c r="AA150" s="5"/>
    </row>
    <row r="151" spans="1:27" ht="15.75" customHeight="1" x14ac:dyDescent="0.25">
      <c r="A151" s="4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5"/>
      <c r="Y151" s="5"/>
      <c r="Z151" s="5"/>
      <c r="AA151" s="5"/>
    </row>
    <row r="152" spans="1:27" ht="15.75" customHeight="1" x14ac:dyDescent="0.25">
      <c r="A152" s="4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5"/>
      <c r="Y152" s="5"/>
      <c r="Z152" s="5"/>
      <c r="AA152" s="5"/>
    </row>
    <row r="153" spans="1:27" ht="15.75" customHeight="1" x14ac:dyDescent="0.25">
      <c r="A153" s="4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5"/>
      <c r="Y153" s="5"/>
      <c r="Z153" s="5"/>
      <c r="AA153" s="5"/>
    </row>
    <row r="154" spans="1:27" ht="15.75" customHeight="1" x14ac:dyDescent="0.25">
      <c r="A154" s="4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5"/>
      <c r="Y154" s="5"/>
      <c r="Z154" s="5"/>
      <c r="AA154" s="5"/>
    </row>
    <row r="155" spans="1:27" ht="15.75" customHeight="1" x14ac:dyDescent="0.25">
      <c r="A155" s="4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5"/>
      <c r="Y155" s="5"/>
      <c r="Z155" s="5"/>
      <c r="AA155" s="5"/>
    </row>
    <row r="156" spans="1:27" ht="15.75" customHeight="1" x14ac:dyDescent="0.25">
      <c r="A156" s="4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5"/>
      <c r="Y156" s="5"/>
      <c r="Z156" s="5"/>
      <c r="AA156" s="5"/>
    </row>
    <row r="157" spans="1:27" ht="15.75" customHeight="1" x14ac:dyDescent="0.25">
      <c r="A157" s="4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5"/>
      <c r="Y157" s="5"/>
      <c r="Z157" s="5"/>
      <c r="AA157" s="5"/>
    </row>
    <row r="158" spans="1:27" ht="15.75" customHeight="1" x14ac:dyDescent="0.25">
      <c r="A158" s="4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5"/>
      <c r="Y158" s="5"/>
      <c r="Z158" s="5"/>
      <c r="AA158" s="5"/>
    </row>
    <row r="159" spans="1:27" ht="15.75" customHeight="1" x14ac:dyDescent="0.25">
      <c r="A159" s="4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5"/>
      <c r="Y159" s="5"/>
      <c r="Z159" s="5"/>
      <c r="AA159" s="5"/>
    </row>
    <row r="160" spans="1:27" ht="15.75" customHeight="1" x14ac:dyDescent="0.25">
      <c r="A160" s="4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5"/>
      <c r="Y160" s="5"/>
      <c r="Z160" s="5"/>
      <c r="AA160" s="5"/>
    </row>
    <row r="161" spans="1:27" ht="15.75" customHeight="1" x14ac:dyDescent="0.25">
      <c r="A161" s="4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5"/>
      <c r="Y161" s="5"/>
      <c r="Z161" s="5"/>
      <c r="AA161" s="5"/>
    </row>
    <row r="162" spans="1:27" ht="15.75" customHeight="1" x14ac:dyDescent="0.25">
      <c r="A162" s="4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5"/>
      <c r="Y162" s="5"/>
      <c r="Z162" s="5"/>
      <c r="AA162" s="5"/>
    </row>
    <row r="163" spans="1:27" ht="15.75" customHeight="1" x14ac:dyDescent="0.25">
      <c r="A163" s="4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5"/>
      <c r="Y163" s="5"/>
      <c r="Z163" s="5"/>
      <c r="AA163" s="5"/>
    </row>
    <row r="164" spans="1:27" ht="15.75" customHeight="1" x14ac:dyDescent="0.25">
      <c r="A164" s="4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5"/>
      <c r="Y164" s="5"/>
      <c r="Z164" s="5"/>
      <c r="AA164" s="5"/>
    </row>
    <row r="165" spans="1:27" ht="15.75" customHeight="1" x14ac:dyDescent="0.25">
      <c r="A165" s="4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5"/>
      <c r="Y165" s="5"/>
      <c r="Z165" s="5"/>
      <c r="AA165" s="5"/>
    </row>
    <row r="166" spans="1:27" ht="15.75" customHeight="1" x14ac:dyDescent="0.25">
      <c r="A166" s="4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5"/>
      <c r="Y166" s="5"/>
      <c r="Z166" s="5"/>
      <c r="AA166" s="5"/>
    </row>
    <row r="167" spans="1:27" ht="15.75" customHeight="1" x14ac:dyDescent="0.25">
      <c r="A167" s="4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5"/>
      <c r="Y167" s="5"/>
      <c r="Z167" s="5"/>
      <c r="AA167" s="5"/>
    </row>
    <row r="168" spans="1:27" ht="15.75" customHeight="1" x14ac:dyDescent="0.25">
      <c r="A168" s="4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5"/>
      <c r="Y168" s="5"/>
      <c r="Z168" s="5"/>
      <c r="AA168" s="5"/>
    </row>
    <row r="169" spans="1:27" ht="15.75" customHeight="1" x14ac:dyDescent="0.25">
      <c r="A169" s="4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5"/>
      <c r="Y169" s="5"/>
      <c r="Z169" s="5"/>
      <c r="AA169" s="5"/>
    </row>
    <row r="170" spans="1:27" ht="15.75" customHeight="1" x14ac:dyDescent="0.25">
      <c r="A170" s="4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5"/>
      <c r="Y170" s="5"/>
      <c r="Z170" s="5"/>
      <c r="AA170" s="5"/>
    </row>
    <row r="171" spans="1:27" ht="15.75" customHeight="1" x14ac:dyDescent="0.25">
      <c r="A171" s="4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5"/>
      <c r="Y171" s="5"/>
      <c r="Z171" s="5"/>
      <c r="AA171" s="5"/>
    </row>
    <row r="172" spans="1:27" ht="15.75" customHeight="1" x14ac:dyDescent="0.25">
      <c r="A172" s="4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5"/>
      <c r="Y172" s="5"/>
      <c r="Z172" s="5"/>
      <c r="AA172" s="5"/>
    </row>
    <row r="173" spans="1:27" ht="15.75" customHeight="1" x14ac:dyDescent="0.25">
      <c r="A173" s="4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5"/>
      <c r="Y173" s="5"/>
      <c r="Z173" s="5"/>
      <c r="AA173" s="5"/>
    </row>
    <row r="174" spans="1:27" ht="15.75" customHeight="1" x14ac:dyDescent="0.25">
      <c r="A174" s="4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5"/>
      <c r="Y174" s="5"/>
      <c r="Z174" s="5"/>
      <c r="AA174" s="5"/>
    </row>
    <row r="175" spans="1:27" ht="15.75" customHeight="1" x14ac:dyDescent="0.25">
      <c r="A175" s="4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5"/>
      <c r="Y175" s="5"/>
      <c r="Z175" s="5"/>
      <c r="AA175" s="5"/>
    </row>
    <row r="176" spans="1:27" ht="15.75" customHeight="1" x14ac:dyDescent="0.25">
      <c r="A176" s="4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5"/>
      <c r="Y176" s="5"/>
      <c r="Z176" s="5"/>
      <c r="AA176" s="5"/>
    </row>
    <row r="177" spans="1:27" ht="15.75" customHeight="1" x14ac:dyDescent="0.25">
      <c r="A177" s="4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5"/>
      <c r="Y177" s="5"/>
      <c r="Z177" s="5"/>
      <c r="AA177" s="5"/>
    </row>
    <row r="178" spans="1:27" ht="15.75" customHeight="1" x14ac:dyDescent="0.25">
      <c r="A178" s="4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5"/>
      <c r="Y178" s="5"/>
      <c r="Z178" s="5"/>
      <c r="AA178" s="5"/>
    </row>
    <row r="179" spans="1:27" ht="15.75" customHeight="1" x14ac:dyDescent="0.25">
      <c r="A179" s="4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5"/>
      <c r="Y179" s="5"/>
      <c r="Z179" s="5"/>
      <c r="AA179" s="5"/>
    </row>
    <row r="180" spans="1:27" ht="15.75" customHeight="1" x14ac:dyDescent="0.25">
      <c r="A180" s="4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5"/>
      <c r="Y180" s="5"/>
      <c r="Z180" s="5"/>
      <c r="AA180" s="5"/>
    </row>
    <row r="181" spans="1:27" ht="15.75" customHeight="1" x14ac:dyDescent="0.25">
      <c r="A181" s="4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5"/>
      <c r="Y181" s="5"/>
      <c r="Z181" s="5"/>
      <c r="AA181" s="5"/>
    </row>
    <row r="182" spans="1:27" ht="15.75" customHeight="1" x14ac:dyDescent="0.25">
      <c r="A182" s="4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5"/>
      <c r="Y182" s="5"/>
      <c r="Z182" s="5"/>
      <c r="AA182" s="5"/>
    </row>
    <row r="183" spans="1:27" ht="15.75" customHeight="1" x14ac:dyDescent="0.25">
      <c r="A183" s="4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5"/>
      <c r="Y183" s="5"/>
      <c r="Z183" s="5"/>
      <c r="AA183" s="5"/>
    </row>
    <row r="184" spans="1:27" ht="15.75" customHeight="1" x14ac:dyDescent="0.25">
      <c r="A184" s="4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5"/>
      <c r="Y184" s="5"/>
      <c r="Z184" s="5"/>
      <c r="AA184" s="5"/>
    </row>
    <row r="185" spans="1:27" ht="15.75" customHeight="1" x14ac:dyDescent="0.25">
      <c r="A185" s="4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5"/>
      <c r="Y185" s="5"/>
      <c r="Z185" s="5"/>
      <c r="AA185" s="5"/>
    </row>
    <row r="186" spans="1:27" ht="15.75" customHeight="1" x14ac:dyDescent="0.25">
      <c r="A186" s="4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5"/>
      <c r="Y186" s="5"/>
      <c r="Z186" s="5"/>
      <c r="AA186" s="5"/>
    </row>
    <row r="187" spans="1:27" ht="15.75" customHeight="1" x14ac:dyDescent="0.25">
      <c r="A187" s="4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5"/>
      <c r="Y187" s="5"/>
      <c r="Z187" s="5"/>
      <c r="AA187" s="5"/>
    </row>
    <row r="188" spans="1:27" ht="15.75" customHeight="1" x14ac:dyDescent="0.25">
      <c r="A188" s="4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5"/>
      <c r="Y188" s="5"/>
      <c r="Z188" s="5"/>
      <c r="AA188" s="5"/>
    </row>
    <row r="189" spans="1:27" ht="15.75" customHeight="1" x14ac:dyDescent="0.25">
      <c r="A189" s="4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5"/>
      <c r="Y189" s="5"/>
      <c r="Z189" s="5"/>
      <c r="AA189" s="5"/>
    </row>
    <row r="190" spans="1:27" ht="15.75" customHeight="1" x14ac:dyDescent="0.25">
      <c r="A190" s="4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5"/>
      <c r="Y190" s="5"/>
      <c r="Z190" s="5"/>
      <c r="AA190" s="5"/>
    </row>
    <row r="191" spans="1:27" ht="15.75" customHeight="1" x14ac:dyDescent="0.25">
      <c r="A191" s="4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5"/>
      <c r="Y191" s="5"/>
      <c r="Z191" s="5"/>
      <c r="AA191" s="5"/>
    </row>
    <row r="192" spans="1:27" ht="15.75" customHeight="1" x14ac:dyDescent="0.25">
      <c r="A192" s="4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5"/>
      <c r="Y192" s="5"/>
      <c r="Z192" s="5"/>
      <c r="AA192" s="5"/>
    </row>
    <row r="193" spans="1:27" ht="15.75" customHeight="1" x14ac:dyDescent="0.25">
      <c r="A193" s="4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5"/>
      <c r="Y193" s="5"/>
      <c r="Z193" s="5"/>
      <c r="AA193" s="5"/>
    </row>
    <row r="194" spans="1:27" ht="15.75" customHeight="1" x14ac:dyDescent="0.25">
      <c r="A194" s="4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5"/>
      <c r="Y194" s="5"/>
      <c r="Z194" s="5"/>
      <c r="AA194" s="5"/>
    </row>
    <row r="195" spans="1:27" ht="15.75" customHeight="1" x14ac:dyDescent="0.25">
      <c r="A195" s="4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5"/>
      <c r="Y195" s="5"/>
      <c r="Z195" s="5"/>
      <c r="AA195" s="5"/>
    </row>
    <row r="196" spans="1:27" ht="15.75" customHeight="1" x14ac:dyDescent="0.25">
      <c r="A196" s="4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5"/>
      <c r="Y196" s="5"/>
      <c r="Z196" s="5"/>
      <c r="AA196" s="5"/>
    </row>
    <row r="197" spans="1:27" ht="15.75" customHeight="1" x14ac:dyDescent="0.25">
      <c r="A197" s="4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5"/>
      <c r="Y197" s="5"/>
      <c r="Z197" s="5"/>
      <c r="AA197" s="5"/>
    </row>
    <row r="198" spans="1:27" ht="15.75" customHeight="1" x14ac:dyDescent="0.25">
      <c r="A198" s="4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5"/>
      <c r="Y198" s="5"/>
      <c r="Z198" s="5"/>
      <c r="AA198" s="5"/>
    </row>
    <row r="199" spans="1:27" ht="15.75" customHeight="1" x14ac:dyDescent="0.25">
      <c r="A199" s="4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5"/>
      <c r="Y199" s="5"/>
      <c r="Z199" s="5"/>
      <c r="AA199" s="5"/>
    </row>
    <row r="200" spans="1:27" ht="15.75" customHeight="1" x14ac:dyDescent="0.25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5"/>
      <c r="Y200" s="5"/>
      <c r="Z200" s="5"/>
      <c r="AA200" s="5"/>
    </row>
    <row r="201" spans="1:27" ht="15.75" customHeight="1" x14ac:dyDescent="0.25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5"/>
      <c r="Y201" s="5"/>
      <c r="Z201" s="5"/>
      <c r="AA201" s="5"/>
    </row>
    <row r="202" spans="1:27" ht="15.75" customHeight="1" x14ac:dyDescent="0.25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5"/>
      <c r="Y202" s="5"/>
      <c r="Z202" s="5"/>
      <c r="AA202" s="5"/>
    </row>
    <row r="203" spans="1:27" ht="15.75" customHeight="1" x14ac:dyDescent="0.25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5"/>
      <c r="Y203" s="5"/>
      <c r="Z203" s="5"/>
      <c r="AA203" s="5"/>
    </row>
    <row r="204" spans="1:27" ht="15.75" customHeight="1" x14ac:dyDescent="0.25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5"/>
      <c r="Y204" s="5"/>
      <c r="Z204" s="5"/>
      <c r="AA204" s="5"/>
    </row>
    <row r="205" spans="1:27" ht="15.75" customHeight="1" x14ac:dyDescent="0.2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5"/>
      <c r="Y205" s="5"/>
      <c r="Z205" s="5"/>
      <c r="AA205" s="5"/>
    </row>
    <row r="206" spans="1:27" ht="15.75" customHeight="1" x14ac:dyDescent="0.25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5"/>
      <c r="Y206" s="5"/>
      <c r="Z206" s="5"/>
      <c r="AA206" s="5"/>
    </row>
    <row r="207" spans="1:27" ht="15.75" customHeight="1" x14ac:dyDescent="0.25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5"/>
      <c r="Y207" s="5"/>
      <c r="Z207" s="5"/>
      <c r="AA207" s="5"/>
    </row>
    <row r="208" spans="1:27" ht="15.75" customHeight="1" x14ac:dyDescent="0.25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5"/>
      <c r="Y208" s="5"/>
      <c r="Z208" s="5"/>
      <c r="AA208" s="5"/>
    </row>
    <row r="209" spans="1:27" ht="15.75" customHeight="1" x14ac:dyDescent="0.25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5"/>
      <c r="Y209" s="5"/>
      <c r="Z209" s="5"/>
      <c r="AA209" s="5"/>
    </row>
    <row r="210" spans="1:27" ht="15.75" customHeight="1" x14ac:dyDescent="0.25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5"/>
      <c r="Y210" s="5"/>
      <c r="Z210" s="5"/>
      <c r="AA210" s="5"/>
    </row>
    <row r="211" spans="1:27" ht="15.75" customHeight="1" x14ac:dyDescent="0.25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5"/>
      <c r="Y211" s="5"/>
      <c r="Z211" s="5"/>
      <c r="AA211" s="5"/>
    </row>
    <row r="212" spans="1:27" ht="15.75" customHeight="1" x14ac:dyDescent="0.25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5"/>
      <c r="Y212" s="5"/>
      <c r="Z212" s="5"/>
      <c r="AA212" s="5"/>
    </row>
    <row r="213" spans="1:27" ht="15.75" customHeight="1" x14ac:dyDescent="0.25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5"/>
      <c r="Y213" s="5"/>
      <c r="Z213" s="5"/>
      <c r="AA213" s="5"/>
    </row>
    <row r="214" spans="1:27" ht="15.75" customHeight="1" x14ac:dyDescent="0.25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5"/>
      <c r="Y214" s="5"/>
      <c r="Z214" s="5"/>
      <c r="AA214" s="5"/>
    </row>
    <row r="215" spans="1:27" ht="15.75" customHeight="1" x14ac:dyDescent="0.2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5"/>
      <c r="Y215" s="5"/>
      <c r="Z215" s="5"/>
      <c r="AA215" s="5"/>
    </row>
    <row r="216" spans="1:27" ht="15.75" customHeight="1" x14ac:dyDescent="0.25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5"/>
      <c r="Y216" s="5"/>
      <c r="Z216" s="5"/>
      <c r="AA216" s="5"/>
    </row>
    <row r="217" spans="1:27" ht="15.75" customHeight="1" x14ac:dyDescent="0.25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5"/>
      <c r="Y217" s="5"/>
      <c r="Z217" s="5"/>
      <c r="AA217" s="5"/>
    </row>
    <row r="218" spans="1:27" ht="15.75" customHeight="1" x14ac:dyDescent="0.25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5"/>
      <c r="Y218" s="5"/>
      <c r="Z218" s="5"/>
      <c r="AA218" s="5"/>
    </row>
    <row r="219" spans="1:27" ht="15.75" customHeight="1" x14ac:dyDescent="0.25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5"/>
      <c r="Y219" s="5"/>
      <c r="Z219" s="5"/>
      <c r="AA219" s="5"/>
    </row>
    <row r="220" spans="1:27" ht="15.75" customHeight="1" x14ac:dyDescent="0.25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5"/>
      <c r="Y220" s="5"/>
      <c r="Z220" s="5"/>
      <c r="AA220" s="5"/>
    </row>
    <row r="221" spans="1:27" ht="15.75" customHeight="1" x14ac:dyDescent="0.25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5"/>
      <c r="Y221" s="5"/>
      <c r="Z221" s="5"/>
      <c r="AA221" s="5"/>
    </row>
    <row r="222" spans="1:27" ht="15.75" customHeight="1" x14ac:dyDescent="0.25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5"/>
      <c r="Y222" s="5"/>
      <c r="Z222" s="5"/>
      <c r="AA222" s="5"/>
    </row>
    <row r="223" spans="1:27" ht="15.75" customHeight="1" x14ac:dyDescent="0.25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5"/>
      <c r="Y223" s="5"/>
      <c r="Z223" s="5"/>
      <c r="AA223" s="5"/>
    </row>
    <row r="224" spans="1:27" ht="15.75" customHeight="1" x14ac:dyDescent="0.25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5"/>
      <c r="Y224" s="5"/>
      <c r="Z224" s="5"/>
      <c r="AA224" s="5"/>
    </row>
    <row r="225" spans="1:27" ht="15.75" customHeight="1" x14ac:dyDescent="0.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5"/>
      <c r="Y225" s="5"/>
      <c r="Z225" s="5"/>
      <c r="AA225" s="5"/>
    </row>
    <row r="226" spans="1:27" ht="15.75" customHeight="1" x14ac:dyDescent="0.25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5"/>
      <c r="Y226" s="5"/>
      <c r="Z226" s="5"/>
      <c r="AA226" s="5"/>
    </row>
    <row r="227" spans="1:27" ht="15.75" customHeight="1" x14ac:dyDescent="0.25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5"/>
      <c r="Y227" s="5"/>
      <c r="Z227" s="5"/>
      <c r="AA227" s="5"/>
    </row>
    <row r="228" spans="1:27" ht="15.75" customHeight="1" x14ac:dyDescent="0.25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5"/>
      <c r="Y228" s="5"/>
      <c r="Z228" s="5"/>
      <c r="AA228" s="5"/>
    </row>
    <row r="229" spans="1:27" ht="15.75" customHeight="1" x14ac:dyDescent="0.25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5"/>
      <c r="Y229" s="5"/>
      <c r="Z229" s="5"/>
      <c r="AA229" s="5"/>
    </row>
    <row r="230" spans="1:27" ht="15.75" customHeight="1" x14ac:dyDescent="0.25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5"/>
      <c r="Y230" s="5"/>
      <c r="Z230" s="5"/>
      <c r="AA230" s="5"/>
    </row>
    <row r="231" spans="1:27" ht="15.75" customHeight="1" x14ac:dyDescent="0.25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5"/>
      <c r="Y231" s="5"/>
      <c r="Z231" s="5"/>
      <c r="AA231" s="5"/>
    </row>
    <row r="232" spans="1:27" ht="15.75" customHeight="1" x14ac:dyDescent="0.25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5"/>
      <c r="Y232" s="5"/>
      <c r="Z232" s="5"/>
      <c r="AA232" s="5"/>
    </row>
    <row r="233" spans="1:27" ht="15.75" customHeight="1" x14ac:dyDescent="0.25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5"/>
      <c r="Y233" s="5"/>
      <c r="Z233" s="5"/>
      <c r="AA233" s="5"/>
    </row>
    <row r="234" spans="1:27" ht="15.75" customHeight="1" x14ac:dyDescent="0.25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5"/>
      <c r="Y234" s="5"/>
      <c r="Z234" s="5"/>
      <c r="AA234" s="5"/>
    </row>
    <row r="235" spans="1:27" ht="15.75" customHeight="1" x14ac:dyDescent="0.2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5"/>
      <c r="Y235" s="5"/>
      <c r="Z235" s="5"/>
      <c r="AA235" s="5"/>
    </row>
    <row r="236" spans="1:27" ht="15.75" customHeight="1" x14ac:dyDescent="0.25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5"/>
      <c r="Y236" s="5"/>
      <c r="Z236" s="5"/>
      <c r="AA236" s="5"/>
    </row>
    <row r="237" spans="1:27" ht="15.75" customHeight="1" x14ac:dyDescent="0.25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5"/>
      <c r="Y237" s="5"/>
      <c r="Z237" s="5"/>
      <c r="AA237" s="5"/>
    </row>
    <row r="238" spans="1:27" ht="15.75" customHeight="1" x14ac:dyDescent="0.25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5"/>
      <c r="Y238" s="5"/>
      <c r="Z238" s="5"/>
      <c r="AA238" s="5"/>
    </row>
    <row r="239" spans="1:27" ht="15.75" customHeight="1" x14ac:dyDescent="0.25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5"/>
      <c r="Y239" s="5"/>
      <c r="Z239" s="5"/>
      <c r="AA239" s="5"/>
    </row>
    <row r="240" spans="1:27" ht="15.75" customHeight="1" x14ac:dyDescent="0.25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5"/>
      <c r="Y240" s="5"/>
      <c r="Z240" s="5"/>
      <c r="AA240" s="5"/>
    </row>
    <row r="241" spans="1:27" ht="15.75" customHeight="1" x14ac:dyDescent="0.25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5"/>
      <c r="Y241" s="5"/>
      <c r="Z241" s="5"/>
      <c r="AA241" s="5"/>
    </row>
    <row r="242" spans="1:27" ht="15.75" customHeight="1" x14ac:dyDescent="0.25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5"/>
      <c r="Y242" s="5"/>
      <c r="Z242" s="5"/>
      <c r="AA242" s="5"/>
    </row>
    <row r="243" spans="1:27" ht="15.75" customHeight="1" x14ac:dyDescent="0.25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5"/>
      <c r="Y243" s="5"/>
      <c r="Z243" s="5"/>
      <c r="AA243" s="5"/>
    </row>
    <row r="244" spans="1:27" ht="15.75" customHeight="1" x14ac:dyDescent="0.25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5"/>
      <c r="Y244" s="5"/>
      <c r="Z244" s="5"/>
      <c r="AA244" s="5"/>
    </row>
    <row r="245" spans="1:27" ht="15.75" customHeight="1" x14ac:dyDescent="0.2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5"/>
      <c r="Y245" s="5"/>
      <c r="Z245" s="5"/>
      <c r="AA245" s="5"/>
    </row>
    <row r="246" spans="1:27" ht="15.75" customHeight="1" x14ac:dyDescent="0.25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5"/>
      <c r="Y246" s="5"/>
      <c r="Z246" s="5"/>
      <c r="AA246" s="5"/>
    </row>
    <row r="247" spans="1:27" ht="15.75" customHeight="1" x14ac:dyDescent="0.25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5"/>
      <c r="Y247" s="5"/>
      <c r="Z247" s="5"/>
      <c r="AA247" s="5"/>
    </row>
    <row r="248" spans="1:27" ht="15.75" customHeight="1" x14ac:dyDescent="0.25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5"/>
      <c r="Y248" s="5"/>
      <c r="Z248" s="5"/>
      <c r="AA248" s="5"/>
    </row>
    <row r="249" spans="1:27" ht="15.75" customHeight="1" x14ac:dyDescent="0.25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5"/>
      <c r="Y249" s="5"/>
      <c r="Z249" s="5"/>
      <c r="AA249" s="5"/>
    </row>
    <row r="250" spans="1:27" ht="15.75" customHeight="1" x14ac:dyDescent="0.25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5"/>
      <c r="Y250" s="5"/>
      <c r="Z250" s="5"/>
      <c r="AA250" s="5"/>
    </row>
    <row r="251" spans="1:27" ht="15.75" customHeight="1" x14ac:dyDescent="0.25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5"/>
      <c r="Y251" s="5"/>
      <c r="Z251" s="5"/>
      <c r="AA251" s="5"/>
    </row>
    <row r="252" spans="1:27" ht="15.75" customHeight="1" x14ac:dyDescent="0.25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5"/>
      <c r="Y252" s="5"/>
      <c r="Z252" s="5"/>
      <c r="AA252" s="5"/>
    </row>
    <row r="253" spans="1:27" ht="15.75" customHeight="1" x14ac:dyDescent="0.25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5"/>
      <c r="Y253" s="5"/>
      <c r="Z253" s="5"/>
      <c r="AA253" s="5"/>
    </row>
    <row r="254" spans="1:27" ht="15.75" customHeight="1" x14ac:dyDescent="0.25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5"/>
      <c r="Y254" s="5"/>
      <c r="Z254" s="5"/>
      <c r="AA254" s="5"/>
    </row>
    <row r="255" spans="1:27" ht="15.75" customHeight="1" x14ac:dyDescent="0.2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5"/>
      <c r="Y255" s="5"/>
      <c r="Z255" s="5"/>
      <c r="AA255" s="5"/>
    </row>
    <row r="256" spans="1:27" ht="15.75" customHeight="1" x14ac:dyDescent="0.25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5"/>
      <c r="Y256" s="5"/>
      <c r="Z256" s="5"/>
      <c r="AA256" s="5"/>
    </row>
    <row r="257" spans="1:27" ht="15.75" customHeight="1" x14ac:dyDescent="0.25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5"/>
      <c r="Y257" s="5"/>
      <c r="Z257" s="5"/>
      <c r="AA257" s="5"/>
    </row>
    <row r="258" spans="1:27" ht="15.75" customHeight="1" x14ac:dyDescent="0.25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5"/>
      <c r="Y258" s="5"/>
      <c r="Z258" s="5"/>
      <c r="AA258" s="5"/>
    </row>
    <row r="259" spans="1:27" ht="15.75" customHeight="1" x14ac:dyDescent="0.25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5"/>
      <c r="Y259" s="5"/>
      <c r="Z259" s="5"/>
      <c r="AA259" s="5"/>
    </row>
    <row r="260" spans="1:27" ht="15.75" customHeight="1" x14ac:dyDescent="0.25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5"/>
      <c r="Y260" s="5"/>
      <c r="Z260" s="5"/>
      <c r="AA260" s="5"/>
    </row>
    <row r="261" spans="1:27" ht="15.75" customHeight="1" x14ac:dyDescent="0.25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5"/>
      <c r="Y261" s="5"/>
      <c r="Z261" s="5"/>
      <c r="AA261" s="5"/>
    </row>
    <row r="262" spans="1:27" ht="15.75" customHeight="1" x14ac:dyDescent="0.25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5"/>
      <c r="Y262" s="5"/>
      <c r="Z262" s="5"/>
      <c r="AA262" s="5"/>
    </row>
    <row r="263" spans="1:27" ht="15.75" customHeight="1" x14ac:dyDescent="0.25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5"/>
      <c r="Y263" s="5"/>
      <c r="Z263" s="5"/>
      <c r="AA263" s="5"/>
    </row>
    <row r="264" spans="1:27" ht="15.75" customHeight="1" x14ac:dyDescent="0.25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5"/>
      <c r="Y264" s="5"/>
      <c r="Z264" s="5"/>
      <c r="AA264" s="5"/>
    </row>
    <row r="265" spans="1:27" ht="15.75" customHeight="1" x14ac:dyDescent="0.2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5"/>
      <c r="Y265" s="5"/>
      <c r="Z265" s="5"/>
      <c r="AA265" s="5"/>
    </row>
    <row r="266" spans="1:27" ht="15.75" customHeight="1" x14ac:dyDescent="0.25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5"/>
      <c r="Y266" s="5"/>
      <c r="Z266" s="5"/>
      <c r="AA266" s="5"/>
    </row>
    <row r="267" spans="1:27" ht="15.75" customHeight="1" x14ac:dyDescent="0.25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5"/>
      <c r="Y267" s="5"/>
      <c r="Z267" s="5"/>
      <c r="AA267" s="5"/>
    </row>
    <row r="268" spans="1:27" ht="15.75" customHeight="1" x14ac:dyDescent="0.25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5"/>
      <c r="Y268" s="5"/>
      <c r="Z268" s="5"/>
      <c r="AA268" s="5"/>
    </row>
    <row r="269" spans="1:27" ht="15.75" customHeight="1" x14ac:dyDescent="0.25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5"/>
      <c r="Y269" s="5"/>
      <c r="Z269" s="5"/>
      <c r="AA269" s="5"/>
    </row>
    <row r="270" spans="1:27" ht="15.75" customHeight="1" x14ac:dyDescent="0.25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5"/>
      <c r="Y270" s="5"/>
      <c r="Z270" s="5"/>
      <c r="AA270" s="5"/>
    </row>
    <row r="271" spans="1:27" ht="15.75" customHeight="1" x14ac:dyDescent="0.25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5"/>
      <c r="Y271" s="5"/>
      <c r="Z271" s="5"/>
      <c r="AA271" s="5"/>
    </row>
    <row r="272" spans="1:27" ht="15.75" customHeight="1" x14ac:dyDescent="0.25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5"/>
      <c r="Y272" s="5"/>
      <c r="Z272" s="5"/>
      <c r="AA272" s="5"/>
    </row>
    <row r="273" spans="1:27" ht="15.75" customHeight="1" x14ac:dyDescent="0.25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5"/>
      <c r="Y273" s="5"/>
      <c r="Z273" s="5"/>
      <c r="AA273" s="5"/>
    </row>
    <row r="274" spans="1:27" ht="15.75" customHeight="1" x14ac:dyDescent="0.25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5"/>
      <c r="Y274" s="5"/>
      <c r="Z274" s="5"/>
      <c r="AA274" s="5"/>
    </row>
    <row r="275" spans="1:27" ht="15.75" customHeight="1" x14ac:dyDescent="0.2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5"/>
      <c r="Y275" s="5"/>
      <c r="Z275" s="5"/>
      <c r="AA275" s="5"/>
    </row>
    <row r="276" spans="1:27" ht="15.75" customHeight="1" x14ac:dyDescent="0.25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5"/>
      <c r="Y276" s="5"/>
      <c r="Z276" s="5"/>
      <c r="AA276" s="5"/>
    </row>
    <row r="277" spans="1:27" ht="15.75" customHeight="1" x14ac:dyDescent="0.25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5"/>
      <c r="Y277" s="5"/>
      <c r="Z277" s="5"/>
      <c r="AA277" s="5"/>
    </row>
    <row r="278" spans="1:27" ht="15.75" customHeight="1" x14ac:dyDescent="0.25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5"/>
      <c r="Y278" s="5"/>
      <c r="Z278" s="5"/>
      <c r="AA278" s="5"/>
    </row>
    <row r="279" spans="1:27" ht="15.75" customHeight="1" x14ac:dyDescent="0.25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5"/>
      <c r="Y279" s="5"/>
      <c r="Z279" s="5"/>
      <c r="AA279" s="5"/>
    </row>
    <row r="280" spans="1:27" ht="15.75" customHeight="1" x14ac:dyDescent="0.25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5"/>
      <c r="Y280" s="5"/>
      <c r="Z280" s="5"/>
      <c r="AA280" s="5"/>
    </row>
    <row r="281" spans="1:27" ht="15.75" customHeight="1" x14ac:dyDescent="0.25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5"/>
      <c r="Y281" s="5"/>
      <c r="Z281" s="5"/>
      <c r="AA281" s="5"/>
    </row>
    <row r="282" spans="1:27" ht="15.75" customHeight="1" x14ac:dyDescent="0.25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5"/>
      <c r="Y282" s="5"/>
      <c r="Z282" s="5"/>
      <c r="AA282" s="5"/>
    </row>
    <row r="283" spans="1:27" ht="15.75" customHeight="1" x14ac:dyDescent="0.25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5"/>
      <c r="Y283" s="5"/>
      <c r="Z283" s="5"/>
      <c r="AA283" s="5"/>
    </row>
    <row r="284" spans="1:27" ht="15.75" customHeight="1" x14ac:dyDescent="0.25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5"/>
      <c r="Y284" s="5"/>
      <c r="Z284" s="5"/>
      <c r="AA284" s="5"/>
    </row>
    <row r="285" spans="1:27" ht="15.75" customHeight="1" x14ac:dyDescent="0.2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5"/>
      <c r="Y285" s="5"/>
      <c r="Z285" s="5"/>
      <c r="AA285" s="5"/>
    </row>
    <row r="286" spans="1:27" ht="15.75" customHeight="1" x14ac:dyDescent="0.25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5"/>
      <c r="Y286" s="5"/>
      <c r="Z286" s="5"/>
      <c r="AA286" s="5"/>
    </row>
    <row r="287" spans="1:27" ht="15.75" customHeight="1" x14ac:dyDescent="0.25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5"/>
      <c r="Y287" s="5"/>
      <c r="Z287" s="5"/>
      <c r="AA287" s="5"/>
    </row>
    <row r="288" spans="1:27" ht="15.75" customHeight="1" x14ac:dyDescent="0.25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5"/>
      <c r="Y288" s="5"/>
      <c r="Z288" s="5"/>
      <c r="AA288" s="5"/>
    </row>
    <row r="289" spans="1:27" ht="15.75" customHeight="1" x14ac:dyDescent="0.25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5"/>
      <c r="Y289" s="5"/>
      <c r="Z289" s="5"/>
      <c r="AA289" s="5"/>
    </row>
    <row r="290" spans="1:27" ht="15.75" customHeight="1" x14ac:dyDescent="0.25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5"/>
      <c r="Y290" s="5"/>
      <c r="Z290" s="5"/>
      <c r="AA290" s="5"/>
    </row>
    <row r="291" spans="1:27" ht="15.75" customHeight="1" x14ac:dyDescent="0.25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5"/>
      <c r="Y291" s="5"/>
      <c r="Z291" s="5"/>
      <c r="AA291" s="5"/>
    </row>
    <row r="292" spans="1:27" ht="15.75" customHeight="1" x14ac:dyDescent="0.25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5"/>
      <c r="Y292" s="5"/>
      <c r="Z292" s="5"/>
      <c r="AA292" s="5"/>
    </row>
    <row r="293" spans="1:27" ht="15.75" customHeight="1" x14ac:dyDescent="0.25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5"/>
      <c r="Y293" s="5"/>
      <c r="Z293" s="5"/>
      <c r="AA293" s="5"/>
    </row>
    <row r="294" spans="1:27" ht="15.75" customHeight="1" x14ac:dyDescent="0.25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5"/>
      <c r="Y294" s="5"/>
      <c r="Z294" s="5"/>
      <c r="AA294" s="5"/>
    </row>
    <row r="295" spans="1:27" ht="15.75" customHeight="1" x14ac:dyDescent="0.2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5"/>
      <c r="Y295" s="5"/>
      <c r="Z295" s="5"/>
      <c r="AA295" s="5"/>
    </row>
    <row r="296" spans="1:27" ht="15.75" customHeight="1" x14ac:dyDescent="0.25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5"/>
      <c r="Y296" s="5"/>
      <c r="Z296" s="5"/>
      <c r="AA296" s="5"/>
    </row>
    <row r="297" spans="1:27" ht="15.75" customHeight="1" x14ac:dyDescent="0.25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5"/>
      <c r="Y297" s="5"/>
      <c r="Z297" s="5"/>
      <c r="AA297" s="5"/>
    </row>
    <row r="298" spans="1:27" ht="15.75" customHeight="1" x14ac:dyDescent="0.25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5"/>
      <c r="Y298" s="5"/>
      <c r="Z298" s="5"/>
      <c r="AA298" s="5"/>
    </row>
    <row r="299" spans="1:27" ht="15.75" customHeight="1" x14ac:dyDescent="0.25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5"/>
      <c r="Y299" s="5"/>
      <c r="Z299" s="5"/>
      <c r="AA299" s="5"/>
    </row>
    <row r="300" spans="1:27" ht="15.75" customHeight="1" x14ac:dyDescent="0.25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spans="1:27" ht="15.75" customHeight="1" x14ac:dyDescent="0.25">
      <c r="A301" s="4"/>
      <c r="B301" s="4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</row>
    <row r="302" spans="1:27" ht="15.75" customHeight="1" x14ac:dyDescent="0.25">
      <c r="A302" s="4"/>
      <c r="B302" s="4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</row>
    <row r="303" spans="1:27" ht="15.75" customHeight="1" x14ac:dyDescent="0.25">
      <c r="A303" s="4"/>
      <c r="B303" s="4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</row>
    <row r="304" spans="1:27" ht="15.75" customHeight="1" x14ac:dyDescent="0.25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spans="1:23" ht="15.75" customHeight="1" x14ac:dyDescent="0.2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spans="1:23" ht="15.75" customHeight="1" x14ac:dyDescent="0.25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spans="1:23" ht="15.75" customHeight="1" x14ac:dyDescent="0.25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spans="1:23" ht="15.75" customHeight="1" x14ac:dyDescent="0.25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spans="1:23" ht="15.75" customHeight="1" x14ac:dyDescent="0.25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spans="1:23" ht="15.75" customHeight="1" x14ac:dyDescent="0.25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spans="1:23" ht="15.75" customHeight="1" x14ac:dyDescent="0.25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spans="1:23" ht="15.75" customHeight="1" x14ac:dyDescent="0.25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spans="1:23" ht="15.75" customHeight="1" x14ac:dyDescent="0.25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spans="1:23" ht="15.75" customHeight="1" x14ac:dyDescent="0.25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spans="1:23" ht="15.75" customHeight="1" x14ac:dyDescent="0.2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spans="1:23" ht="15.75" customHeight="1" x14ac:dyDescent="0.25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spans="1:23" ht="15.75" customHeight="1" x14ac:dyDescent="0.25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spans="1:23" ht="15.75" customHeight="1" x14ac:dyDescent="0.25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spans="1:23" ht="15.75" customHeight="1" x14ac:dyDescent="0.25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spans="1:23" ht="15.75" customHeight="1" x14ac:dyDescent="0.25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spans="1:23" ht="15.75" customHeight="1" x14ac:dyDescent="0.25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spans="1:23" ht="15.75" customHeight="1" x14ac:dyDescent="0.25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spans="1:23" ht="15.75" customHeight="1" x14ac:dyDescent="0.25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spans="1:23" ht="15.75" customHeight="1" x14ac:dyDescent="0.25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spans="1:23" ht="15.75" customHeight="1" x14ac:dyDescent="0.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spans="1:23" ht="15.75" customHeight="1" x14ac:dyDescent="0.25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spans="1:23" ht="15.75" customHeight="1" x14ac:dyDescent="0.25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spans="1:23" ht="15.75" customHeight="1" x14ac:dyDescent="0.25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spans="1:23" ht="15.75" customHeight="1" x14ac:dyDescent="0.25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spans="1:23" ht="15.75" customHeight="1" x14ac:dyDescent="0.25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spans="1:23" ht="15.75" customHeight="1" x14ac:dyDescent="0.25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spans="1:23" ht="15.75" customHeight="1" x14ac:dyDescent="0.25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spans="1:23" ht="15.75" customHeight="1" x14ac:dyDescent="0.25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spans="1:23" ht="15.75" customHeight="1" x14ac:dyDescent="0.25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spans="1:23" ht="15.75" customHeight="1" x14ac:dyDescent="0.2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spans="1:23" ht="15.75" customHeight="1" x14ac:dyDescent="0.25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spans="1:23" ht="15.75" customHeight="1" x14ac:dyDescent="0.25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spans="1:23" ht="15.75" customHeight="1" x14ac:dyDescent="0.25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spans="1:23" ht="15.75" customHeight="1" x14ac:dyDescent="0.25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spans="1:23" ht="15.75" customHeight="1" x14ac:dyDescent="0.25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spans="1:23" ht="15.75" customHeight="1" x14ac:dyDescent="0.25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spans="1:23" ht="15.75" customHeight="1" x14ac:dyDescent="0.25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spans="1:23" ht="15.75" customHeight="1" x14ac:dyDescent="0.25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spans="1:23" ht="15.75" customHeight="1" x14ac:dyDescent="0.25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spans="1:23" ht="15.75" customHeight="1" x14ac:dyDescent="0.2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spans="1:23" ht="15.75" customHeight="1" x14ac:dyDescent="0.25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spans="1:23" ht="15.75" customHeight="1" x14ac:dyDescent="0.25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spans="1:23" ht="15.75" customHeight="1" x14ac:dyDescent="0.25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spans="1:23" ht="15.75" customHeight="1" x14ac:dyDescent="0.25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spans="1:23" ht="15.75" customHeight="1" x14ac:dyDescent="0.25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spans="1:23" ht="15.75" customHeight="1" x14ac:dyDescent="0.25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spans="1:23" ht="15.75" customHeight="1" x14ac:dyDescent="0.25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spans="1:23" ht="15.75" customHeight="1" x14ac:dyDescent="0.25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spans="1:23" ht="15.75" customHeight="1" x14ac:dyDescent="0.25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spans="1:23" ht="15.75" customHeight="1" x14ac:dyDescent="0.2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spans="1:23" ht="15.75" customHeight="1" x14ac:dyDescent="0.25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spans="1:23" ht="15.75" customHeight="1" x14ac:dyDescent="0.25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spans="1:23" ht="15.75" customHeight="1" x14ac:dyDescent="0.25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spans="1:23" ht="15.75" customHeight="1" x14ac:dyDescent="0.25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spans="1:23" ht="15.75" customHeight="1" x14ac:dyDescent="0.25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spans="1:23" ht="15.75" customHeight="1" x14ac:dyDescent="0.25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spans="1:23" ht="15.75" customHeight="1" x14ac:dyDescent="0.25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spans="1:23" ht="15.75" customHeight="1" x14ac:dyDescent="0.25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spans="1:23" ht="15.75" customHeight="1" x14ac:dyDescent="0.25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spans="1:23" ht="15.75" customHeight="1" x14ac:dyDescent="0.2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spans="1:23" ht="15.75" customHeight="1" x14ac:dyDescent="0.25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spans="1:23" ht="15.75" customHeight="1" x14ac:dyDescent="0.25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spans="1:23" ht="15.75" customHeight="1" x14ac:dyDescent="0.25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spans="1:23" ht="15.75" customHeight="1" x14ac:dyDescent="0.25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spans="1:23" ht="15.75" customHeight="1" x14ac:dyDescent="0.25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spans="1:23" ht="15.75" customHeight="1" x14ac:dyDescent="0.25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spans="1:23" ht="15.75" customHeight="1" x14ac:dyDescent="0.25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spans="1:23" ht="15.75" customHeight="1" x14ac:dyDescent="0.25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spans="1:23" ht="15.75" customHeight="1" x14ac:dyDescent="0.25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spans="1:23" ht="15.75" customHeight="1" x14ac:dyDescent="0.2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spans="1:23" ht="15.75" customHeight="1" x14ac:dyDescent="0.25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spans="1:23" ht="15.75" customHeight="1" x14ac:dyDescent="0.25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spans="1:23" ht="15.75" customHeight="1" x14ac:dyDescent="0.25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spans="1:23" ht="15.75" customHeight="1" x14ac:dyDescent="0.25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spans="1:23" ht="15.75" customHeight="1" x14ac:dyDescent="0.25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spans="1:23" ht="15.75" customHeight="1" x14ac:dyDescent="0.25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spans="1:23" ht="15.75" customHeight="1" x14ac:dyDescent="0.25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spans="1:23" ht="15.75" customHeight="1" x14ac:dyDescent="0.25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spans="1:23" ht="15.75" customHeight="1" x14ac:dyDescent="0.25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spans="1:23" ht="15.75" customHeight="1" x14ac:dyDescent="0.2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spans="1:23" ht="15.75" customHeight="1" x14ac:dyDescent="0.25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spans="1:23" ht="15.75" customHeight="1" x14ac:dyDescent="0.25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spans="1:23" ht="15.75" customHeight="1" x14ac:dyDescent="0.25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spans="1:23" ht="15.75" customHeight="1" x14ac:dyDescent="0.25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spans="1:23" ht="15.75" customHeight="1" x14ac:dyDescent="0.25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spans="1:23" ht="15.75" customHeight="1" x14ac:dyDescent="0.25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spans="1:23" ht="15.75" customHeight="1" x14ac:dyDescent="0.25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spans="1:23" ht="15.75" customHeight="1" x14ac:dyDescent="0.25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spans="1:23" ht="15.75" customHeight="1" x14ac:dyDescent="0.25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spans="1:23" ht="15.75" customHeight="1" x14ac:dyDescent="0.2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spans="1:23" ht="15.75" customHeight="1" x14ac:dyDescent="0.25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spans="1:23" ht="15.75" customHeight="1" x14ac:dyDescent="0.25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spans="1:23" ht="15.75" customHeight="1" x14ac:dyDescent="0.25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spans="1:23" ht="15.75" customHeight="1" x14ac:dyDescent="0.25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spans="1:23" ht="15.75" customHeight="1" x14ac:dyDescent="0.25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spans="1:23" ht="15.75" customHeight="1" x14ac:dyDescent="0.25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spans="1:23" ht="15.75" customHeight="1" x14ac:dyDescent="0.25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spans="1:23" ht="15.75" customHeight="1" x14ac:dyDescent="0.25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spans="1:23" ht="15.75" customHeight="1" x14ac:dyDescent="0.25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spans="1:23" ht="15.75" customHeight="1" x14ac:dyDescent="0.2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spans="1:23" ht="15.75" customHeight="1" x14ac:dyDescent="0.25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spans="1:23" ht="15.75" customHeight="1" x14ac:dyDescent="0.25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spans="1:23" ht="15.75" customHeight="1" x14ac:dyDescent="0.25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spans="1:23" ht="15.75" customHeight="1" x14ac:dyDescent="0.25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spans="1:23" ht="15.75" customHeight="1" x14ac:dyDescent="0.25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spans="1:23" ht="15.75" customHeight="1" x14ac:dyDescent="0.25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spans="1:23" ht="15.75" customHeight="1" x14ac:dyDescent="0.25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spans="1:23" ht="15.75" customHeight="1" x14ac:dyDescent="0.25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spans="1:23" ht="15.75" customHeight="1" x14ac:dyDescent="0.25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spans="1:23" ht="15.75" customHeight="1" x14ac:dyDescent="0.2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spans="1:23" ht="15.75" customHeight="1" x14ac:dyDescent="0.25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spans="1:23" ht="15.75" customHeight="1" x14ac:dyDescent="0.25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spans="1:23" ht="15.75" customHeight="1" x14ac:dyDescent="0.25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spans="1:23" ht="15.75" customHeight="1" x14ac:dyDescent="0.25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spans="1:23" ht="15.75" customHeight="1" x14ac:dyDescent="0.25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spans="1:23" ht="15.75" customHeight="1" x14ac:dyDescent="0.25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spans="1:23" ht="15.75" customHeight="1" x14ac:dyDescent="0.25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spans="1:23" ht="15.75" customHeight="1" x14ac:dyDescent="0.25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spans="1:23" ht="15.75" customHeight="1" x14ac:dyDescent="0.25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spans="1:23" ht="15.75" customHeight="1" x14ac:dyDescent="0.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spans="1:23" ht="15.75" customHeight="1" x14ac:dyDescent="0.25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spans="1:23" ht="15.75" customHeight="1" x14ac:dyDescent="0.25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spans="1:23" ht="15.75" customHeight="1" x14ac:dyDescent="0.25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spans="1:23" ht="15.75" customHeight="1" x14ac:dyDescent="0.25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spans="1:23" ht="15.75" customHeight="1" x14ac:dyDescent="0.25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spans="1:23" ht="15.75" customHeight="1" x14ac:dyDescent="0.25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spans="1:23" ht="15.75" customHeight="1" x14ac:dyDescent="0.25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spans="1:23" ht="15.75" customHeight="1" x14ac:dyDescent="0.25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spans="1:23" ht="15.75" customHeight="1" x14ac:dyDescent="0.25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spans="1:23" ht="15.75" customHeight="1" x14ac:dyDescent="0.2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spans="1:23" ht="15.75" customHeight="1" x14ac:dyDescent="0.25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spans="1:23" ht="15.75" customHeight="1" x14ac:dyDescent="0.25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spans="1:23" ht="15.75" customHeight="1" x14ac:dyDescent="0.25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spans="1:23" ht="15.75" customHeight="1" x14ac:dyDescent="0.25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spans="1:23" ht="15.75" customHeight="1" x14ac:dyDescent="0.25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spans="1:23" ht="15.75" customHeight="1" x14ac:dyDescent="0.25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spans="1:23" ht="15.75" customHeight="1" x14ac:dyDescent="0.25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spans="1:23" ht="15.75" customHeight="1" x14ac:dyDescent="0.25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spans="1:23" ht="15.75" customHeight="1" x14ac:dyDescent="0.25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spans="1:23" ht="15.75" customHeight="1" x14ac:dyDescent="0.2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spans="1:23" ht="15.75" customHeight="1" x14ac:dyDescent="0.25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spans="1:23" ht="15.75" customHeight="1" x14ac:dyDescent="0.25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spans="1:23" ht="15.75" customHeight="1" x14ac:dyDescent="0.25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spans="1:23" ht="15.75" customHeight="1" x14ac:dyDescent="0.25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spans="1:23" ht="15.75" customHeight="1" x14ac:dyDescent="0.25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spans="1:23" ht="15.75" customHeight="1" x14ac:dyDescent="0.25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spans="1:23" ht="15.75" customHeight="1" x14ac:dyDescent="0.25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spans="1:23" ht="15.75" customHeight="1" x14ac:dyDescent="0.25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spans="1:23" ht="15.75" customHeight="1" x14ac:dyDescent="0.25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spans="1:23" ht="15.75" customHeight="1" x14ac:dyDescent="0.2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spans="1:23" ht="15.75" customHeight="1" x14ac:dyDescent="0.25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spans="1:23" ht="15.75" customHeight="1" x14ac:dyDescent="0.25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spans="1:23" ht="15.75" customHeight="1" x14ac:dyDescent="0.25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spans="1:23" ht="15.75" customHeight="1" x14ac:dyDescent="0.25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spans="1:23" ht="15.75" customHeight="1" x14ac:dyDescent="0.25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spans="1:23" ht="15.75" customHeight="1" x14ac:dyDescent="0.25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spans="1:23" ht="15.75" customHeight="1" x14ac:dyDescent="0.25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spans="1:23" ht="15.75" customHeight="1" x14ac:dyDescent="0.25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spans="1:23" ht="15.75" customHeight="1" x14ac:dyDescent="0.25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spans="1:23" ht="15.75" customHeight="1" x14ac:dyDescent="0.2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spans="1:23" ht="15.75" customHeight="1" x14ac:dyDescent="0.25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spans="1:23" ht="15.75" customHeight="1" x14ac:dyDescent="0.25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spans="1:23" ht="15.75" customHeight="1" x14ac:dyDescent="0.25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spans="1:23" ht="15.75" customHeight="1" x14ac:dyDescent="0.25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spans="1:23" ht="15.75" customHeight="1" x14ac:dyDescent="0.25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spans="1:23" ht="15.75" customHeight="1" x14ac:dyDescent="0.25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spans="1:23" ht="15.75" customHeight="1" x14ac:dyDescent="0.25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spans="1:23" ht="15.75" customHeight="1" x14ac:dyDescent="0.25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spans="1:23" ht="15.75" customHeight="1" x14ac:dyDescent="0.25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spans="1:23" ht="15.75" customHeight="1" x14ac:dyDescent="0.2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spans="1:23" ht="15.75" customHeight="1" x14ac:dyDescent="0.25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spans="1:23" ht="15.75" customHeight="1" x14ac:dyDescent="0.25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spans="1:23" ht="15.75" customHeight="1" x14ac:dyDescent="0.25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spans="1:23" ht="15.75" customHeight="1" x14ac:dyDescent="0.25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spans="1:23" ht="15.75" customHeight="1" x14ac:dyDescent="0.25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spans="1:23" ht="15.75" customHeight="1" x14ac:dyDescent="0.25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spans="1:23" ht="15.75" customHeight="1" x14ac:dyDescent="0.25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spans="1:23" ht="15.75" customHeight="1" x14ac:dyDescent="0.25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spans="1:23" ht="15.75" customHeight="1" x14ac:dyDescent="0.25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spans="1:23" ht="15.75" customHeight="1" x14ac:dyDescent="0.2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spans="1:23" ht="15.75" customHeight="1" x14ac:dyDescent="0.25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spans="1:23" ht="15.75" customHeight="1" x14ac:dyDescent="0.25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spans="1:23" ht="15.75" customHeight="1" x14ac:dyDescent="0.25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spans="1:23" ht="15.75" customHeight="1" x14ac:dyDescent="0.25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spans="1:23" ht="15.75" customHeight="1" x14ac:dyDescent="0.25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spans="1:23" ht="15.75" customHeight="1" x14ac:dyDescent="0.25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spans="1:23" ht="15.75" customHeight="1" x14ac:dyDescent="0.25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spans="1:23" ht="15.75" customHeight="1" x14ac:dyDescent="0.25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spans="1:23" ht="15.75" customHeight="1" x14ac:dyDescent="0.25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spans="1:23" ht="15.75" customHeight="1" x14ac:dyDescent="0.2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spans="1:23" ht="15.75" customHeight="1" x14ac:dyDescent="0.25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spans="1:23" ht="15.75" customHeight="1" x14ac:dyDescent="0.25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spans="1:23" ht="15.75" customHeight="1" x14ac:dyDescent="0.25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spans="1:23" ht="15.75" customHeight="1" x14ac:dyDescent="0.25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spans="1:23" ht="15.75" customHeight="1" x14ac:dyDescent="0.25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spans="1:23" ht="15.75" customHeight="1" x14ac:dyDescent="0.25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spans="1:23" ht="15.75" customHeight="1" x14ac:dyDescent="0.25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spans="1:23" ht="15.75" customHeight="1" x14ac:dyDescent="0.25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spans="1:23" ht="15.75" customHeight="1" x14ac:dyDescent="0.25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spans="1:23" ht="15.75" customHeight="1" x14ac:dyDescent="0.2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spans="1:23" ht="15.75" customHeight="1" x14ac:dyDescent="0.25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spans="1:23" ht="15.75" customHeight="1" x14ac:dyDescent="0.25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spans="1:23" ht="15.75" customHeight="1" x14ac:dyDescent="0.25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spans="1:23" ht="15.75" customHeight="1" x14ac:dyDescent="0.25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spans="1:23" ht="15.75" customHeight="1" x14ac:dyDescent="0.25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spans="1:23" ht="15.75" customHeight="1" x14ac:dyDescent="0.25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spans="1:23" ht="15.75" customHeight="1" x14ac:dyDescent="0.25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spans="1:23" ht="15.75" customHeight="1" x14ac:dyDescent="0.25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spans="1:23" ht="15.75" customHeight="1" x14ac:dyDescent="0.25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spans="1:23" ht="15.75" customHeight="1" x14ac:dyDescent="0.2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spans="1:23" ht="15.75" customHeight="1" x14ac:dyDescent="0.25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spans="1:23" ht="15.75" customHeight="1" x14ac:dyDescent="0.25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spans="1:23" ht="15.75" customHeight="1" x14ac:dyDescent="0.25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spans="1:23" ht="15.75" customHeight="1" x14ac:dyDescent="0.25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spans="1:23" ht="15.75" customHeight="1" x14ac:dyDescent="0.25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spans="1:23" ht="15.75" customHeight="1" x14ac:dyDescent="0.25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spans="1:23" ht="15.75" customHeight="1" x14ac:dyDescent="0.25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spans="1:23" ht="15.75" customHeight="1" x14ac:dyDescent="0.25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spans="1:23" ht="15.75" customHeight="1" x14ac:dyDescent="0.25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spans="1:23" ht="15.75" customHeight="1" x14ac:dyDescent="0.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spans="1:23" ht="15.75" customHeight="1" x14ac:dyDescent="0.25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spans="1:23" ht="15.75" customHeight="1" x14ac:dyDescent="0.25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spans="1:23" ht="15.75" customHeight="1" x14ac:dyDescent="0.25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spans="1:23" ht="15.75" customHeight="1" x14ac:dyDescent="0.25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spans="1:23" ht="15.75" customHeight="1" x14ac:dyDescent="0.25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spans="1:23" ht="15.75" customHeight="1" x14ac:dyDescent="0.25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spans="1:23" ht="15.75" customHeight="1" x14ac:dyDescent="0.25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spans="1:23" ht="15.75" customHeight="1" x14ac:dyDescent="0.25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spans="1:23" ht="15.75" customHeight="1" x14ac:dyDescent="0.25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spans="1:23" ht="15.75" customHeight="1" x14ac:dyDescent="0.2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spans="1:23" ht="15.75" customHeight="1" x14ac:dyDescent="0.25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spans="1:23" ht="15.75" customHeight="1" x14ac:dyDescent="0.25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spans="1:23" ht="15.75" customHeight="1" x14ac:dyDescent="0.25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spans="1:23" ht="15.75" customHeight="1" x14ac:dyDescent="0.25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spans="1:23" ht="15.75" customHeight="1" x14ac:dyDescent="0.25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spans="1:23" ht="15.75" customHeight="1" x14ac:dyDescent="0.25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spans="1:23" ht="15.75" customHeight="1" x14ac:dyDescent="0.25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spans="1:23" ht="15.75" customHeight="1" x14ac:dyDescent="0.25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spans="1:23" ht="15.75" customHeight="1" x14ac:dyDescent="0.25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spans="1:23" ht="15.75" customHeight="1" x14ac:dyDescent="0.2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spans="1:23" ht="15.75" customHeight="1" x14ac:dyDescent="0.25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spans="1:23" ht="15.75" customHeight="1" x14ac:dyDescent="0.25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spans="1:23" ht="15.75" customHeight="1" x14ac:dyDescent="0.25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spans="1:23" ht="15.75" customHeight="1" x14ac:dyDescent="0.25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spans="1:23" ht="15.75" customHeight="1" x14ac:dyDescent="0.25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spans="1:23" ht="15.75" customHeight="1" x14ac:dyDescent="0.25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spans="1:23" ht="15.75" customHeight="1" x14ac:dyDescent="0.25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spans="1:23" ht="15.75" customHeight="1" x14ac:dyDescent="0.25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spans="1:23" ht="15.75" customHeight="1" x14ac:dyDescent="0.25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spans="1:23" ht="15.75" customHeight="1" x14ac:dyDescent="0.2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spans="1:23" ht="15.75" customHeight="1" x14ac:dyDescent="0.25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spans="1:23" ht="15.75" customHeight="1" x14ac:dyDescent="0.25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spans="1:23" ht="15.75" customHeight="1" x14ac:dyDescent="0.25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spans="1:23" ht="15.75" customHeight="1" x14ac:dyDescent="0.25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spans="1:23" ht="15.75" customHeight="1" x14ac:dyDescent="0.25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spans="1:23" ht="15.75" customHeight="1" x14ac:dyDescent="0.25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spans="1:23" ht="15.75" customHeight="1" x14ac:dyDescent="0.25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spans="1:23" ht="15.75" customHeight="1" x14ac:dyDescent="0.25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spans="1:23" ht="15.75" customHeight="1" x14ac:dyDescent="0.25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spans="1:23" ht="15.75" customHeight="1" x14ac:dyDescent="0.2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spans="1:23" ht="15.75" customHeight="1" x14ac:dyDescent="0.25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spans="1:23" ht="15.75" customHeight="1" x14ac:dyDescent="0.25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spans="1:23" ht="15.75" customHeight="1" x14ac:dyDescent="0.25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spans="1:23" ht="15.75" customHeight="1" x14ac:dyDescent="0.25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spans="1:23" ht="15.75" customHeight="1" x14ac:dyDescent="0.25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spans="1:23" ht="15.75" customHeight="1" x14ac:dyDescent="0.25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spans="1:23" ht="15.75" customHeight="1" x14ac:dyDescent="0.25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spans="1:23" ht="15.75" customHeight="1" x14ac:dyDescent="0.25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spans="1:23" ht="15.75" customHeight="1" x14ac:dyDescent="0.25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spans="1:23" ht="15.75" customHeight="1" x14ac:dyDescent="0.2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spans="1:23" ht="15.75" customHeight="1" x14ac:dyDescent="0.25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spans="1:23" ht="15.75" customHeight="1" x14ac:dyDescent="0.25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spans="1:23" ht="15.75" customHeight="1" x14ac:dyDescent="0.25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spans="1:23" ht="15.75" customHeight="1" x14ac:dyDescent="0.25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spans="1:23" ht="15.75" customHeight="1" x14ac:dyDescent="0.25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spans="1:23" ht="15.75" customHeight="1" x14ac:dyDescent="0.25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spans="1:23" ht="15.75" customHeight="1" x14ac:dyDescent="0.25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spans="1:23" ht="15.75" customHeight="1" x14ac:dyDescent="0.25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spans="1:23" ht="15.75" customHeight="1" x14ac:dyDescent="0.25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spans="1:23" ht="15.75" customHeight="1" x14ac:dyDescent="0.2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spans="1:23" ht="15.75" customHeight="1" x14ac:dyDescent="0.25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spans="1:23" ht="15.75" customHeight="1" x14ac:dyDescent="0.25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spans="1:23" ht="15.75" customHeight="1" x14ac:dyDescent="0.25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spans="1:23" ht="15.75" customHeight="1" x14ac:dyDescent="0.25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spans="1:23" ht="15.75" customHeight="1" x14ac:dyDescent="0.25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spans="1:23" ht="15.75" customHeight="1" x14ac:dyDescent="0.25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spans="1:23" ht="15.75" customHeight="1" x14ac:dyDescent="0.25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spans="1:23" ht="15.75" customHeight="1" x14ac:dyDescent="0.25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spans="1:23" ht="15.75" customHeight="1" x14ac:dyDescent="0.25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spans="1:23" ht="15.75" customHeight="1" x14ac:dyDescent="0.2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spans="1:23" ht="15.75" customHeight="1" x14ac:dyDescent="0.25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spans="1:23" ht="15.75" customHeight="1" x14ac:dyDescent="0.25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spans="1:23" ht="15.75" customHeight="1" x14ac:dyDescent="0.25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spans="1:23" ht="15.75" customHeight="1" x14ac:dyDescent="0.25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spans="1:23" ht="15.75" customHeight="1" x14ac:dyDescent="0.25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spans="1:23" ht="15.75" customHeight="1" x14ac:dyDescent="0.25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spans="1:23" ht="15.75" customHeight="1" x14ac:dyDescent="0.25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spans="1:23" ht="15.75" customHeight="1" x14ac:dyDescent="0.25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spans="1:23" ht="15.75" customHeight="1" x14ac:dyDescent="0.25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spans="1:23" ht="15.75" customHeight="1" x14ac:dyDescent="0.2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spans="1:23" ht="15.75" customHeight="1" x14ac:dyDescent="0.25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spans="1:23" ht="15.75" customHeight="1" x14ac:dyDescent="0.25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spans="1:23" ht="15.75" customHeight="1" x14ac:dyDescent="0.25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spans="1:23" ht="15.75" customHeight="1" x14ac:dyDescent="0.25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spans="1:23" ht="15.75" customHeight="1" x14ac:dyDescent="0.25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spans="1:23" ht="15.75" customHeight="1" x14ac:dyDescent="0.25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spans="1:23" ht="15.75" customHeight="1" x14ac:dyDescent="0.25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spans="1:23" ht="15.75" customHeight="1" x14ac:dyDescent="0.25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spans="1:23" ht="15.75" customHeight="1" x14ac:dyDescent="0.25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spans="1:23" ht="15.75" customHeight="1" x14ac:dyDescent="0.2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spans="1:23" ht="15.75" customHeight="1" x14ac:dyDescent="0.25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spans="1:23" ht="15.75" customHeight="1" x14ac:dyDescent="0.25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spans="1:23" ht="15.75" customHeight="1" x14ac:dyDescent="0.25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spans="1:23" ht="15.75" customHeight="1" x14ac:dyDescent="0.25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spans="1:23" ht="15.75" customHeight="1" x14ac:dyDescent="0.25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spans="1:23" ht="15.75" customHeight="1" x14ac:dyDescent="0.25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spans="1:23" ht="15.75" customHeight="1" x14ac:dyDescent="0.25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spans="1:23" ht="15.75" customHeight="1" x14ac:dyDescent="0.25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spans="1:23" ht="15.75" customHeight="1" x14ac:dyDescent="0.25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spans="1:23" ht="15.75" customHeight="1" x14ac:dyDescent="0.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spans="1:23" ht="15.75" customHeight="1" x14ac:dyDescent="0.25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spans="1:23" ht="15.75" customHeight="1" x14ac:dyDescent="0.25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spans="1:23" ht="15.75" customHeight="1" x14ac:dyDescent="0.25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spans="1:23" ht="15.75" customHeight="1" x14ac:dyDescent="0.25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spans="1:23" ht="15.75" customHeight="1" x14ac:dyDescent="0.25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spans="1:23" ht="15.75" customHeight="1" x14ac:dyDescent="0.25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spans="1:23" ht="15.75" customHeight="1" x14ac:dyDescent="0.25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spans="1:23" ht="15.75" customHeight="1" x14ac:dyDescent="0.25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spans="1:23" ht="15.75" customHeight="1" x14ac:dyDescent="0.25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spans="1:23" ht="15.75" customHeight="1" x14ac:dyDescent="0.2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spans="1:23" ht="15.75" customHeight="1" x14ac:dyDescent="0.25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spans="1:23" ht="15.75" customHeight="1" x14ac:dyDescent="0.25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spans="1:23" ht="15.75" customHeight="1" x14ac:dyDescent="0.25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spans="1:23" ht="15.75" customHeight="1" x14ac:dyDescent="0.25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spans="1:23" ht="15.75" customHeight="1" x14ac:dyDescent="0.25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spans="1:23" ht="15.75" customHeight="1" x14ac:dyDescent="0.25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spans="1:23" ht="15.75" customHeight="1" x14ac:dyDescent="0.25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spans="1:23" ht="15.75" customHeight="1" x14ac:dyDescent="0.25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spans="1:23" ht="15.75" customHeight="1" x14ac:dyDescent="0.25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spans="1:23" ht="15.75" customHeight="1" x14ac:dyDescent="0.2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spans="1:23" ht="15.75" customHeight="1" x14ac:dyDescent="0.25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spans="1:23" ht="15.75" customHeight="1" x14ac:dyDescent="0.25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spans="1:23" ht="15.75" customHeight="1" x14ac:dyDescent="0.25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spans="1:23" ht="15.75" customHeight="1" x14ac:dyDescent="0.25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spans="1:23" ht="15.75" customHeight="1" x14ac:dyDescent="0.25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spans="1:23" ht="15.75" customHeight="1" x14ac:dyDescent="0.25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spans="1:23" ht="15.75" customHeight="1" x14ac:dyDescent="0.25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spans="1:23" ht="15.75" customHeight="1" x14ac:dyDescent="0.25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spans="1:23" ht="15.75" customHeight="1" x14ac:dyDescent="0.25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spans="1:23" ht="15.75" customHeight="1" x14ac:dyDescent="0.2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spans="1:23" ht="15.75" customHeight="1" x14ac:dyDescent="0.25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spans="1:23" ht="15.75" customHeight="1" x14ac:dyDescent="0.25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spans="1:23" ht="15.75" customHeight="1" x14ac:dyDescent="0.25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spans="1:23" ht="15.75" customHeight="1" x14ac:dyDescent="0.25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spans="1:23" ht="15.75" customHeight="1" x14ac:dyDescent="0.25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spans="1:23" ht="15.75" customHeight="1" x14ac:dyDescent="0.25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spans="1:23" ht="15.75" customHeight="1" x14ac:dyDescent="0.25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spans="1:23" ht="15.75" customHeight="1" x14ac:dyDescent="0.25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spans="1:23" ht="15.75" customHeight="1" x14ac:dyDescent="0.25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spans="1:23" ht="15.75" customHeight="1" x14ac:dyDescent="0.2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spans="1:23" ht="15.75" customHeight="1" x14ac:dyDescent="0.25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spans="1:23" ht="15.75" customHeight="1" x14ac:dyDescent="0.25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spans="1:23" ht="15.75" customHeight="1" x14ac:dyDescent="0.25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spans="1:23" ht="15.75" customHeight="1" x14ac:dyDescent="0.25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spans="1:23" ht="15.75" customHeight="1" x14ac:dyDescent="0.25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spans="1:23" ht="15.75" customHeight="1" x14ac:dyDescent="0.25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spans="1:23" ht="15.75" customHeight="1" x14ac:dyDescent="0.25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spans="1:23" ht="15.75" customHeight="1" x14ac:dyDescent="0.25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spans="1:23" ht="15.75" customHeight="1" x14ac:dyDescent="0.25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spans="1:23" ht="15.75" customHeight="1" x14ac:dyDescent="0.2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spans="1:23" ht="15.75" customHeight="1" x14ac:dyDescent="0.25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spans="1:23" ht="15.75" customHeight="1" x14ac:dyDescent="0.25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spans="1:23" ht="15.75" customHeight="1" x14ac:dyDescent="0.25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spans="1:23" ht="15.75" customHeight="1" x14ac:dyDescent="0.25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spans="1:23" ht="15.75" customHeight="1" x14ac:dyDescent="0.25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spans="1:23" ht="15.75" customHeight="1" x14ac:dyDescent="0.25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spans="1:23" ht="15.75" customHeight="1" x14ac:dyDescent="0.25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spans="1:23" ht="15.75" customHeight="1" x14ac:dyDescent="0.25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spans="1:23" ht="15.75" customHeight="1" x14ac:dyDescent="0.25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spans="1:23" ht="15.75" customHeight="1" x14ac:dyDescent="0.2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spans="1:23" ht="15.75" customHeight="1" x14ac:dyDescent="0.25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spans="1:23" ht="15.75" customHeight="1" x14ac:dyDescent="0.25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spans="1:23" ht="15.75" customHeight="1" x14ac:dyDescent="0.25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spans="1:23" ht="15.75" customHeight="1" x14ac:dyDescent="0.25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spans="1:23" ht="15.75" customHeight="1" x14ac:dyDescent="0.25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spans="1:23" ht="15.75" customHeight="1" x14ac:dyDescent="0.25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spans="1:23" ht="15.75" customHeight="1" x14ac:dyDescent="0.25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spans="1:23" ht="15.75" customHeight="1" x14ac:dyDescent="0.25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spans="1:23" ht="15.75" customHeight="1" x14ac:dyDescent="0.25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spans="1:23" ht="15.75" customHeight="1" x14ac:dyDescent="0.2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spans="1:23" ht="15.75" customHeight="1" x14ac:dyDescent="0.25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spans="1:23" ht="15.75" customHeight="1" x14ac:dyDescent="0.25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spans="1:23" ht="15.75" customHeight="1" x14ac:dyDescent="0.25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spans="1:23" ht="15.75" customHeight="1" x14ac:dyDescent="0.25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spans="1:23" ht="15.75" customHeight="1" x14ac:dyDescent="0.25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spans="1:23" ht="15.75" customHeight="1" x14ac:dyDescent="0.25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spans="1:23" ht="15.75" customHeight="1" x14ac:dyDescent="0.25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spans="1:23" ht="15.75" customHeight="1" x14ac:dyDescent="0.25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spans="1:23" ht="15.75" customHeight="1" x14ac:dyDescent="0.25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spans="1:23" ht="15.75" customHeight="1" x14ac:dyDescent="0.2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spans="1:23" ht="15.75" customHeight="1" x14ac:dyDescent="0.25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spans="1:23" ht="15.75" customHeight="1" x14ac:dyDescent="0.25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spans="1:23" ht="15.75" customHeight="1" x14ac:dyDescent="0.25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spans="1:23" ht="15.75" customHeight="1" x14ac:dyDescent="0.25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spans="1:23" ht="15.75" customHeight="1" x14ac:dyDescent="0.25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spans="1:23" ht="15.75" customHeight="1" x14ac:dyDescent="0.25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spans="1:23" ht="15.75" customHeight="1" x14ac:dyDescent="0.25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spans="1:23" ht="15.75" customHeight="1" x14ac:dyDescent="0.25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spans="1:23" ht="15.75" customHeight="1" x14ac:dyDescent="0.25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spans="1:23" ht="15.75" customHeight="1" x14ac:dyDescent="0.2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spans="1:23" ht="15.75" customHeight="1" x14ac:dyDescent="0.25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spans="1:23" ht="15.75" customHeight="1" x14ac:dyDescent="0.25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spans="1:23" ht="15.75" customHeight="1" x14ac:dyDescent="0.25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spans="1:23" ht="15.75" customHeight="1" x14ac:dyDescent="0.25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spans="1:23" ht="15.75" customHeight="1" x14ac:dyDescent="0.25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spans="1:23" ht="15.75" customHeight="1" x14ac:dyDescent="0.25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spans="1:23" ht="15.75" customHeight="1" x14ac:dyDescent="0.25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spans="1:23" ht="15.75" customHeight="1" x14ac:dyDescent="0.25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spans="1:23" ht="15.75" customHeight="1" x14ac:dyDescent="0.25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spans="1:23" ht="15.75" customHeight="1" x14ac:dyDescent="0.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spans="1:23" ht="15.75" customHeight="1" x14ac:dyDescent="0.25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spans="1:23" ht="15.75" customHeight="1" x14ac:dyDescent="0.25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spans="1:23" ht="15.75" customHeight="1" x14ac:dyDescent="0.25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spans="1:23" ht="15.75" customHeight="1" x14ac:dyDescent="0.25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spans="1:23" ht="15.75" customHeight="1" x14ac:dyDescent="0.25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spans="1:23" ht="15.75" customHeight="1" x14ac:dyDescent="0.25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spans="1:23" ht="15.75" customHeight="1" x14ac:dyDescent="0.25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spans="1:23" ht="15.75" customHeight="1" x14ac:dyDescent="0.25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spans="1:23" ht="15.75" customHeight="1" x14ac:dyDescent="0.25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spans="1:23" ht="15.75" customHeight="1" x14ac:dyDescent="0.2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spans="1:23" ht="15.75" customHeight="1" x14ac:dyDescent="0.25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spans="1:23" ht="15.75" customHeight="1" x14ac:dyDescent="0.25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spans="1:23" ht="15.75" customHeight="1" x14ac:dyDescent="0.25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spans="1:23" ht="15.75" customHeight="1" x14ac:dyDescent="0.25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spans="1:23" ht="15.75" customHeight="1" x14ac:dyDescent="0.25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spans="1:23" ht="15.75" customHeight="1" x14ac:dyDescent="0.25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spans="1:23" ht="15.75" customHeight="1" x14ac:dyDescent="0.25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spans="1:23" ht="15.75" customHeight="1" x14ac:dyDescent="0.25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spans="1:23" ht="15.75" customHeight="1" x14ac:dyDescent="0.25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spans="1:23" ht="15.75" customHeight="1" x14ac:dyDescent="0.2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spans="1:23" ht="15.75" customHeight="1" x14ac:dyDescent="0.25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spans="1:23" ht="15.75" customHeight="1" x14ac:dyDescent="0.25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spans="1:23" ht="15.75" customHeight="1" x14ac:dyDescent="0.25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spans="1:23" ht="15.75" customHeight="1" x14ac:dyDescent="0.25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spans="1:23" ht="15.75" customHeight="1" x14ac:dyDescent="0.25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spans="1:23" ht="15.75" customHeight="1" x14ac:dyDescent="0.25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spans="1:23" ht="15.75" customHeight="1" x14ac:dyDescent="0.25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spans="1:23" ht="15.75" customHeight="1" x14ac:dyDescent="0.25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spans="1:23" ht="15.75" customHeight="1" x14ac:dyDescent="0.25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spans="1:23" ht="15.75" customHeight="1" x14ac:dyDescent="0.2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spans="1:23" ht="15.75" customHeight="1" x14ac:dyDescent="0.25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spans="1:23" ht="15.75" customHeight="1" x14ac:dyDescent="0.25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spans="1:23" ht="15.75" customHeight="1" x14ac:dyDescent="0.25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spans="1:23" ht="15.75" customHeight="1" x14ac:dyDescent="0.25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spans="1:23" ht="15.75" customHeight="1" x14ac:dyDescent="0.25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spans="1:23" ht="15.75" customHeight="1" x14ac:dyDescent="0.25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spans="1:23" ht="15.75" customHeight="1" x14ac:dyDescent="0.25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spans="1:23" ht="15.75" customHeight="1" x14ac:dyDescent="0.25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spans="1:23" ht="15.75" customHeight="1" x14ac:dyDescent="0.25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spans="1:23" ht="15.75" customHeight="1" x14ac:dyDescent="0.2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spans="1:23" ht="15.75" customHeight="1" x14ac:dyDescent="0.25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spans="1:23" ht="15.75" customHeight="1" x14ac:dyDescent="0.25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spans="1:23" ht="15.75" customHeight="1" x14ac:dyDescent="0.25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spans="1:23" ht="15.75" customHeight="1" x14ac:dyDescent="0.25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spans="1:23" ht="15.75" customHeight="1" x14ac:dyDescent="0.25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spans="1:23" ht="15.75" customHeight="1" x14ac:dyDescent="0.25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spans="1:23" ht="15.75" customHeight="1" x14ac:dyDescent="0.25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spans="1:23" ht="15.75" customHeight="1" x14ac:dyDescent="0.25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spans="1:23" ht="15.75" customHeight="1" x14ac:dyDescent="0.25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spans="1:23" ht="15.75" customHeight="1" x14ac:dyDescent="0.2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spans="1:23" ht="15.75" customHeight="1" x14ac:dyDescent="0.25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spans="1:23" ht="15.75" customHeight="1" x14ac:dyDescent="0.25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spans="1:23" ht="15.75" customHeight="1" x14ac:dyDescent="0.25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spans="1:23" ht="15.75" customHeight="1" x14ac:dyDescent="0.25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spans="1:23" ht="15.75" customHeight="1" x14ac:dyDescent="0.25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spans="1:23" ht="15.75" customHeight="1" x14ac:dyDescent="0.25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spans="1:23" ht="15.75" customHeight="1" x14ac:dyDescent="0.25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spans="1:23" ht="15.75" customHeight="1" x14ac:dyDescent="0.25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spans="1:23" ht="15.75" customHeight="1" x14ac:dyDescent="0.25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spans="1:23" ht="15.75" customHeight="1" x14ac:dyDescent="0.2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spans="1:23" ht="15.75" customHeight="1" x14ac:dyDescent="0.25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spans="1:23" ht="15.75" customHeight="1" x14ac:dyDescent="0.25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spans="1:23" ht="15.75" customHeight="1" x14ac:dyDescent="0.25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spans="1:23" ht="15.75" customHeight="1" x14ac:dyDescent="0.25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spans="1:23" ht="15.75" customHeight="1" x14ac:dyDescent="0.25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spans="1:23" ht="15.75" customHeight="1" x14ac:dyDescent="0.25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spans="1:23" ht="15.75" customHeight="1" x14ac:dyDescent="0.25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spans="1:23" ht="15.75" customHeight="1" x14ac:dyDescent="0.25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spans="1:23" ht="15.75" customHeight="1" x14ac:dyDescent="0.25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spans="1:23" ht="15.75" customHeight="1" x14ac:dyDescent="0.2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spans="1:23" ht="15.75" customHeight="1" x14ac:dyDescent="0.25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spans="1:23" ht="15.75" customHeight="1" x14ac:dyDescent="0.25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spans="1:23" ht="15.75" customHeight="1" x14ac:dyDescent="0.25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spans="1:23" ht="15.75" customHeight="1" x14ac:dyDescent="0.25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spans="1:23" ht="15.75" customHeight="1" x14ac:dyDescent="0.25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spans="1:23" ht="15.75" customHeight="1" x14ac:dyDescent="0.25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spans="1:23" ht="15.75" customHeight="1" x14ac:dyDescent="0.25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spans="1:23" ht="15.75" customHeight="1" x14ac:dyDescent="0.25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spans="1:23" ht="15.75" customHeight="1" x14ac:dyDescent="0.25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spans="1:23" ht="15.75" customHeight="1" x14ac:dyDescent="0.2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spans="1:23" ht="15.75" customHeight="1" x14ac:dyDescent="0.25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spans="1:23" ht="15.75" customHeight="1" x14ac:dyDescent="0.25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spans="1:23" ht="15.75" customHeight="1" x14ac:dyDescent="0.25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spans="1:23" ht="15.75" customHeight="1" x14ac:dyDescent="0.25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spans="1:23" ht="15.75" customHeight="1" x14ac:dyDescent="0.25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spans="1:23" ht="15.75" customHeight="1" x14ac:dyDescent="0.25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spans="1:23" ht="15.75" customHeight="1" x14ac:dyDescent="0.25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spans="1:23" ht="15.75" customHeight="1" x14ac:dyDescent="0.25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spans="1:23" ht="15.75" customHeight="1" x14ac:dyDescent="0.25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spans="1:23" ht="15.75" customHeight="1" x14ac:dyDescent="0.2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spans="1:23" ht="15.75" customHeight="1" x14ac:dyDescent="0.25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spans="1:23" ht="15.75" customHeight="1" x14ac:dyDescent="0.25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spans="1:23" ht="15.75" customHeight="1" x14ac:dyDescent="0.25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spans="1:23" ht="15.75" customHeight="1" x14ac:dyDescent="0.25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spans="1:23" ht="15.75" customHeight="1" x14ac:dyDescent="0.25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spans="1:23" ht="15.75" customHeight="1" x14ac:dyDescent="0.25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spans="1:23" ht="15.75" customHeight="1" x14ac:dyDescent="0.25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spans="1:23" ht="15.75" customHeight="1" x14ac:dyDescent="0.25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spans="1:23" ht="15.75" customHeight="1" x14ac:dyDescent="0.25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spans="1:23" ht="15.75" customHeight="1" x14ac:dyDescent="0.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spans="1:23" ht="15.75" customHeight="1" x14ac:dyDescent="0.25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spans="1:23" ht="15.75" customHeight="1" x14ac:dyDescent="0.25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spans="1:23" ht="15.75" customHeight="1" x14ac:dyDescent="0.25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spans="1:23" ht="15.75" customHeight="1" x14ac:dyDescent="0.25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spans="1:23" ht="15.75" customHeight="1" x14ac:dyDescent="0.25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spans="1:23" ht="15.75" customHeight="1" x14ac:dyDescent="0.25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spans="1:23" ht="15.75" customHeight="1" x14ac:dyDescent="0.25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spans="1:23" ht="15.75" customHeight="1" x14ac:dyDescent="0.25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spans="1:23" ht="15.75" customHeight="1" x14ac:dyDescent="0.25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spans="1:23" ht="15.75" customHeight="1" x14ac:dyDescent="0.2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spans="1:23" ht="15.75" customHeight="1" x14ac:dyDescent="0.25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spans="1:23" ht="15.75" customHeight="1" x14ac:dyDescent="0.25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spans="1:23" ht="15.75" customHeight="1" x14ac:dyDescent="0.25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spans="1:23" ht="15.75" customHeight="1" x14ac:dyDescent="0.25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spans="1:23" ht="15.75" customHeight="1" x14ac:dyDescent="0.25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spans="1:23" ht="15.75" customHeight="1" x14ac:dyDescent="0.25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spans="1:23" ht="15.75" customHeight="1" x14ac:dyDescent="0.25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spans="1:23" ht="15.75" customHeight="1" x14ac:dyDescent="0.25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spans="1:23" ht="15.75" customHeight="1" x14ac:dyDescent="0.25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spans="1:23" ht="15.75" customHeight="1" x14ac:dyDescent="0.2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spans="1:23" ht="15.75" customHeight="1" x14ac:dyDescent="0.25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spans="1:23" ht="15.75" customHeight="1" x14ac:dyDescent="0.25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spans="1:23" ht="15.75" customHeight="1" x14ac:dyDescent="0.25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spans="1:23" ht="15.75" customHeight="1" x14ac:dyDescent="0.25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spans="1:23" ht="15.75" customHeight="1" x14ac:dyDescent="0.25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spans="1:23" ht="15.75" customHeight="1" x14ac:dyDescent="0.25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spans="1:23" ht="15.75" customHeight="1" x14ac:dyDescent="0.25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spans="1:23" ht="15.75" customHeight="1" x14ac:dyDescent="0.25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spans="1:23" ht="15.75" customHeight="1" x14ac:dyDescent="0.25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spans="1:23" ht="15.75" customHeight="1" x14ac:dyDescent="0.2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spans="1:23" ht="15.75" customHeight="1" x14ac:dyDescent="0.25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spans="1:23" ht="15.75" customHeight="1" x14ac:dyDescent="0.25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spans="1:23" ht="15.75" customHeight="1" x14ac:dyDescent="0.25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spans="1:23" ht="15.75" customHeight="1" x14ac:dyDescent="0.25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spans="1:23" ht="15.75" customHeight="1" x14ac:dyDescent="0.25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spans="1:23" ht="15.75" customHeight="1" x14ac:dyDescent="0.25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spans="1:23" ht="15.75" customHeight="1" x14ac:dyDescent="0.25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spans="1:23" ht="15.75" customHeight="1" x14ac:dyDescent="0.25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spans="1:23" ht="15.75" customHeight="1" x14ac:dyDescent="0.25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spans="1:23" ht="15.75" customHeight="1" x14ac:dyDescent="0.2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spans="1:23" ht="15.75" customHeight="1" x14ac:dyDescent="0.25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spans="1:23" ht="15.75" customHeight="1" x14ac:dyDescent="0.25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spans="1:23" ht="15.75" customHeight="1" x14ac:dyDescent="0.25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spans="1:23" ht="15.75" customHeight="1" x14ac:dyDescent="0.25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spans="1:23" ht="15.75" customHeight="1" x14ac:dyDescent="0.25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spans="1:23" ht="15.75" customHeight="1" x14ac:dyDescent="0.25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spans="1:23" ht="15.75" customHeight="1" x14ac:dyDescent="0.25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spans="1:23" ht="15.75" customHeight="1" x14ac:dyDescent="0.25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spans="1:23" ht="15.75" customHeight="1" x14ac:dyDescent="0.25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spans="1:23" ht="15.75" customHeight="1" x14ac:dyDescent="0.2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spans="1:23" ht="15.75" customHeight="1" x14ac:dyDescent="0.25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spans="1:23" ht="15.75" customHeight="1" x14ac:dyDescent="0.25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spans="1:23" ht="15.75" customHeight="1" x14ac:dyDescent="0.25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spans="1:23" ht="15.75" customHeight="1" x14ac:dyDescent="0.25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spans="1:23" ht="15.75" customHeight="1" x14ac:dyDescent="0.25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spans="1:23" ht="15.75" customHeight="1" x14ac:dyDescent="0.25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spans="1:23" ht="15.75" customHeight="1" x14ac:dyDescent="0.25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spans="1:23" ht="15.75" customHeight="1" x14ac:dyDescent="0.25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spans="1:23" ht="15.75" customHeight="1" x14ac:dyDescent="0.25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spans="1:23" ht="15.75" customHeight="1" x14ac:dyDescent="0.2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spans="1:23" ht="15.75" customHeight="1" x14ac:dyDescent="0.25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spans="1:23" ht="15.75" customHeight="1" x14ac:dyDescent="0.25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spans="1:23" ht="15.75" customHeight="1" x14ac:dyDescent="0.25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spans="1:23" ht="15.75" customHeight="1" x14ac:dyDescent="0.25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spans="1:23" ht="15.75" customHeight="1" x14ac:dyDescent="0.25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spans="1:23" ht="15.75" customHeight="1" x14ac:dyDescent="0.25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spans="1:23" ht="15.75" customHeight="1" x14ac:dyDescent="0.25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spans="1:23" ht="15.75" customHeight="1" x14ac:dyDescent="0.25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spans="1:23" ht="15.75" customHeight="1" x14ac:dyDescent="0.25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spans="1:23" ht="15.75" customHeight="1" x14ac:dyDescent="0.2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spans="1:23" ht="15.75" customHeight="1" x14ac:dyDescent="0.25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spans="1:23" ht="15.75" customHeight="1" x14ac:dyDescent="0.25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spans="1:23" ht="15.75" customHeight="1" x14ac:dyDescent="0.25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spans="1:23" ht="15.75" customHeight="1" x14ac:dyDescent="0.25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spans="1:23" ht="15.75" customHeight="1" x14ac:dyDescent="0.25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spans="1:23" ht="15.75" customHeight="1" x14ac:dyDescent="0.25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spans="1:23" ht="15.75" customHeight="1" x14ac:dyDescent="0.25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spans="1:23" ht="15.75" customHeight="1" x14ac:dyDescent="0.25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spans="1:23" ht="15.75" customHeight="1" x14ac:dyDescent="0.25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spans="1:23" ht="15.75" customHeight="1" x14ac:dyDescent="0.2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spans="1:23" ht="15.75" customHeight="1" x14ac:dyDescent="0.25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spans="1:23" ht="15.75" customHeight="1" x14ac:dyDescent="0.25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spans="1:23" ht="15.75" customHeight="1" x14ac:dyDescent="0.25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spans="1:23" ht="15.75" customHeight="1" x14ac:dyDescent="0.25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spans="1:23" ht="15.75" customHeight="1" x14ac:dyDescent="0.25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spans="1:23" ht="15.75" customHeight="1" x14ac:dyDescent="0.25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spans="1:23" ht="15.75" customHeight="1" x14ac:dyDescent="0.25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spans="1:23" ht="15.75" customHeight="1" x14ac:dyDescent="0.25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spans="1:23" ht="15.75" customHeight="1" x14ac:dyDescent="0.25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spans="1:23" ht="15.75" customHeight="1" x14ac:dyDescent="0.2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spans="1:23" ht="15.75" customHeight="1" x14ac:dyDescent="0.25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spans="1:23" ht="15.75" customHeight="1" x14ac:dyDescent="0.25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spans="1:23" ht="15.75" customHeight="1" x14ac:dyDescent="0.25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spans="1:23" ht="15.75" customHeight="1" x14ac:dyDescent="0.25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spans="1:23" ht="15.75" customHeight="1" x14ac:dyDescent="0.25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spans="1:23" ht="15.75" customHeight="1" x14ac:dyDescent="0.25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spans="1:23" ht="15.75" customHeight="1" x14ac:dyDescent="0.25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spans="1:23" ht="15.75" customHeight="1" x14ac:dyDescent="0.25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spans="1:23" ht="15.75" customHeight="1" x14ac:dyDescent="0.25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  <row r="925" spans="1:23" ht="15.75" customHeight="1" x14ac:dyDescent="0.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</row>
    <row r="926" spans="1:23" ht="15.75" customHeight="1" x14ac:dyDescent="0.25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</row>
    <row r="927" spans="1:23" ht="15.75" customHeight="1" x14ac:dyDescent="0.25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</row>
    <row r="928" spans="1:23" ht="15.75" customHeight="1" x14ac:dyDescent="0.25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</row>
    <row r="929" spans="1:23" ht="15.75" customHeight="1" x14ac:dyDescent="0.25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</row>
    <row r="930" spans="1:23" ht="15.75" customHeight="1" x14ac:dyDescent="0.25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</row>
    <row r="931" spans="1:23" ht="15.75" customHeight="1" x14ac:dyDescent="0.25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</row>
    <row r="932" spans="1:23" ht="15.75" customHeight="1" x14ac:dyDescent="0.25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</row>
    <row r="933" spans="1:23" ht="15.75" customHeight="1" x14ac:dyDescent="0.25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</row>
    <row r="934" spans="1:23" ht="15.75" customHeight="1" x14ac:dyDescent="0.25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</row>
    <row r="935" spans="1:23" ht="15.75" customHeight="1" x14ac:dyDescent="0.2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</row>
    <row r="936" spans="1:23" ht="15.75" customHeight="1" x14ac:dyDescent="0.25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</row>
    <row r="937" spans="1:23" ht="15.75" customHeight="1" x14ac:dyDescent="0.25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</row>
    <row r="938" spans="1:23" ht="15.75" customHeight="1" x14ac:dyDescent="0.25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</row>
    <row r="939" spans="1:23" ht="15.75" customHeight="1" x14ac:dyDescent="0.25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</row>
    <row r="940" spans="1:23" ht="15.75" customHeight="1" x14ac:dyDescent="0.25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</row>
    <row r="941" spans="1:23" ht="15.75" customHeight="1" x14ac:dyDescent="0.25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</row>
    <row r="942" spans="1:23" ht="15.75" customHeight="1" x14ac:dyDescent="0.25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</row>
    <row r="943" spans="1:23" ht="15.75" customHeight="1" x14ac:dyDescent="0.25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</row>
    <row r="944" spans="1:23" ht="15.75" customHeight="1" x14ac:dyDescent="0.25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</row>
    <row r="945" spans="1:23" ht="15.75" customHeight="1" x14ac:dyDescent="0.2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</row>
    <row r="946" spans="1:23" ht="15.75" customHeight="1" x14ac:dyDescent="0.25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</row>
    <row r="947" spans="1:23" ht="15.75" customHeight="1" x14ac:dyDescent="0.25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</row>
    <row r="948" spans="1:23" ht="15.75" customHeight="1" x14ac:dyDescent="0.25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</row>
    <row r="949" spans="1:23" ht="15.75" customHeight="1" x14ac:dyDescent="0.25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</row>
    <row r="950" spans="1:23" ht="15.75" customHeight="1" x14ac:dyDescent="0.25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</row>
    <row r="951" spans="1:23" ht="15.75" customHeight="1" x14ac:dyDescent="0.25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</row>
    <row r="952" spans="1:23" ht="15.75" customHeight="1" x14ac:dyDescent="0.25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</row>
    <row r="953" spans="1:23" ht="15.75" customHeight="1" x14ac:dyDescent="0.25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</row>
    <row r="954" spans="1:23" ht="15.75" customHeight="1" x14ac:dyDescent="0.25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</row>
    <row r="955" spans="1:23" ht="15.75" customHeight="1" x14ac:dyDescent="0.2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</row>
    <row r="956" spans="1:23" ht="15.75" customHeight="1" x14ac:dyDescent="0.25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</row>
    <row r="957" spans="1:23" ht="15.75" customHeight="1" x14ac:dyDescent="0.25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</row>
    <row r="958" spans="1:23" ht="15.75" customHeight="1" x14ac:dyDescent="0.25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</row>
    <row r="959" spans="1:23" ht="15.75" customHeight="1" x14ac:dyDescent="0.25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</row>
    <row r="960" spans="1:23" ht="15.75" customHeight="1" x14ac:dyDescent="0.25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</row>
    <row r="961" spans="1:23" ht="15.75" customHeight="1" x14ac:dyDescent="0.25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</row>
    <row r="962" spans="1:23" ht="15.75" customHeight="1" x14ac:dyDescent="0.25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</row>
    <row r="963" spans="1:23" ht="15.75" customHeight="1" x14ac:dyDescent="0.25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</row>
    <row r="964" spans="1:23" ht="15.75" customHeight="1" x14ac:dyDescent="0.25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</row>
    <row r="965" spans="1:23" ht="15.75" customHeight="1" x14ac:dyDescent="0.2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</row>
    <row r="966" spans="1:23" ht="15.75" customHeight="1" x14ac:dyDescent="0.25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</row>
    <row r="967" spans="1:23" ht="15.75" customHeight="1" x14ac:dyDescent="0.25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</row>
    <row r="968" spans="1:23" ht="15.75" customHeight="1" x14ac:dyDescent="0.25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</row>
    <row r="969" spans="1:23" ht="15.75" customHeight="1" x14ac:dyDescent="0.25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</row>
    <row r="970" spans="1:23" ht="15.75" customHeight="1" x14ac:dyDescent="0.25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</row>
    <row r="971" spans="1:23" ht="15.75" customHeight="1" x14ac:dyDescent="0.25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</row>
    <row r="972" spans="1:23" ht="15.75" customHeight="1" x14ac:dyDescent="0.25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</row>
    <row r="973" spans="1:23" ht="15.75" customHeight="1" x14ac:dyDescent="0.25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</row>
    <row r="974" spans="1:23" ht="15.75" customHeight="1" x14ac:dyDescent="0.25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</row>
    <row r="975" spans="1:23" ht="15.75" customHeight="1" x14ac:dyDescent="0.2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</row>
    <row r="976" spans="1:23" ht="15.75" customHeight="1" x14ac:dyDescent="0.25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</row>
    <row r="977" spans="1:23" ht="15.75" customHeight="1" x14ac:dyDescent="0.25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</row>
    <row r="978" spans="1:23" ht="15.75" customHeight="1" x14ac:dyDescent="0.25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</row>
    <row r="979" spans="1:23" ht="15.75" customHeight="1" x14ac:dyDescent="0.25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</row>
    <row r="980" spans="1:23" ht="15.75" customHeight="1" x14ac:dyDescent="0.25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</row>
    <row r="981" spans="1:23" ht="15.75" customHeight="1" x14ac:dyDescent="0.25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</row>
    <row r="982" spans="1:23" ht="15.75" customHeight="1" x14ac:dyDescent="0.25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</row>
    <row r="983" spans="1:23" ht="15.75" customHeight="1" x14ac:dyDescent="0.25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</row>
    <row r="984" spans="1:23" ht="15.75" customHeight="1" x14ac:dyDescent="0.25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</row>
    <row r="985" spans="1:23" ht="15.75" customHeight="1" x14ac:dyDescent="0.2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</row>
    <row r="986" spans="1:23" ht="15.75" customHeight="1" x14ac:dyDescent="0.25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</row>
    <row r="987" spans="1:23" ht="15.75" customHeight="1" x14ac:dyDescent="0.25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</row>
    <row r="988" spans="1:23" ht="15.75" customHeight="1" x14ac:dyDescent="0.25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</row>
    <row r="989" spans="1:23" ht="15.75" customHeight="1" x14ac:dyDescent="0.25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</row>
    <row r="990" spans="1:23" ht="15.75" customHeight="1" x14ac:dyDescent="0.25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</row>
    <row r="991" spans="1:23" ht="15.75" customHeight="1" x14ac:dyDescent="0.25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</row>
    <row r="992" spans="1:23" ht="15.75" customHeight="1" x14ac:dyDescent="0.25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</row>
    <row r="993" spans="1:23" ht="15.75" customHeight="1" x14ac:dyDescent="0.25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</row>
    <row r="994" spans="1:23" ht="15.75" customHeight="1" x14ac:dyDescent="0.25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</row>
    <row r="995" spans="1:23" ht="15.75" customHeight="1" x14ac:dyDescent="0.2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</row>
    <row r="996" spans="1:23" ht="15.75" customHeight="1" x14ac:dyDescent="0.25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</row>
    <row r="997" spans="1:23" ht="15.75" customHeight="1" x14ac:dyDescent="0.25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</row>
    <row r="998" spans="1:23" ht="15.75" customHeight="1" x14ac:dyDescent="0.25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</row>
    <row r="999" spans="1:23" ht="15.75" customHeight="1" x14ac:dyDescent="0.25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</row>
    <row r="1000" spans="1:23" ht="15.75" customHeight="1" x14ac:dyDescent="0.25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</row>
    <row r="1001" spans="1:23" ht="15.75" customHeight="1" x14ac:dyDescent="0.25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</row>
    <row r="1002" spans="1:23" ht="15.75" customHeight="1" x14ac:dyDescent="0.25">
      <c r="A1002" s="4"/>
      <c r="B1002" s="4"/>
      <c r="C1002" s="4"/>
      <c r="D1002" s="4"/>
      <c r="E1002" s="4"/>
      <c r="F1002" s="4"/>
      <c r="G1002" s="4"/>
      <c r="H1002" s="4"/>
      <c r="I1002" s="4"/>
      <c r="J1002" s="4"/>
      <c r="K1002" s="4"/>
      <c r="L1002" s="4"/>
      <c r="M1002" s="4"/>
      <c r="N1002" s="4"/>
      <c r="O1002" s="4"/>
      <c r="P1002" s="4"/>
      <c r="Q1002" s="4"/>
      <c r="R1002" s="4"/>
      <c r="S1002" s="4"/>
      <c r="T1002" s="4"/>
      <c r="U1002" s="4"/>
      <c r="V1002" s="4"/>
      <c r="W1002" s="4"/>
    </row>
    <row r="1003" spans="1:23" ht="15.75" customHeight="1" x14ac:dyDescent="0.25">
      <c r="A1003" s="4"/>
      <c r="B1003" s="4"/>
      <c r="C1003" s="4"/>
      <c r="D1003" s="4"/>
      <c r="E1003" s="4"/>
      <c r="F1003" s="4"/>
      <c r="G1003" s="4"/>
      <c r="H1003" s="4"/>
      <c r="I1003" s="4"/>
      <c r="J1003" s="4"/>
      <c r="K1003" s="4"/>
      <c r="L1003" s="4"/>
      <c r="M1003" s="4"/>
      <c r="N1003" s="4"/>
      <c r="O1003" s="4"/>
      <c r="P1003" s="4"/>
      <c r="Q1003" s="4"/>
      <c r="R1003" s="4"/>
      <c r="S1003" s="4"/>
      <c r="T1003" s="4"/>
      <c r="U1003" s="4"/>
      <c r="V1003" s="4"/>
      <c r="W1003" s="4"/>
    </row>
    <row r="1004" spans="1:23" ht="15.75" customHeight="1" x14ac:dyDescent="0.25">
      <c r="A1004" s="4"/>
      <c r="B1004" s="4"/>
      <c r="C1004" s="4"/>
      <c r="D1004" s="4"/>
      <c r="E1004" s="4"/>
      <c r="F1004" s="4"/>
      <c r="G1004" s="4"/>
      <c r="H1004" s="4"/>
      <c r="I1004" s="4"/>
      <c r="J1004" s="4"/>
      <c r="K1004" s="4"/>
      <c r="L1004" s="4"/>
      <c r="M1004" s="4"/>
      <c r="N1004" s="4"/>
      <c r="O1004" s="4"/>
      <c r="P1004" s="4"/>
      <c r="Q1004" s="4"/>
      <c r="R1004" s="4"/>
      <c r="S1004" s="4"/>
      <c r="T1004" s="4"/>
      <c r="U1004" s="4"/>
      <c r="V1004" s="4"/>
      <c r="W1004" s="4"/>
    </row>
    <row r="1005" spans="1:23" ht="15.75" customHeight="1" x14ac:dyDescent="0.25">
      <c r="A1005" s="4"/>
      <c r="B1005" s="4"/>
      <c r="C1005" s="4"/>
      <c r="D1005" s="4"/>
      <c r="E1005" s="4"/>
      <c r="F1005" s="4"/>
      <c r="G1005" s="4"/>
      <c r="H1005" s="4"/>
      <c r="I1005" s="4"/>
      <c r="J1005" s="4"/>
      <c r="K1005" s="4"/>
      <c r="L1005" s="4"/>
      <c r="M1005" s="4"/>
      <c r="N1005" s="4"/>
      <c r="O1005" s="4"/>
      <c r="P1005" s="4"/>
      <c r="Q1005" s="4"/>
      <c r="R1005" s="4"/>
      <c r="S1005" s="4"/>
      <c r="T1005" s="4"/>
      <c r="U1005" s="4"/>
      <c r="V1005" s="4"/>
      <c r="W1005" s="4"/>
    </row>
    <row r="1006" spans="1:23" ht="15.75" customHeight="1" x14ac:dyDescent="0.25">
      <c r="A1006" s="4"/>
      <c r="B1006" s="4"/>
      <c r="C1006" s="4"/>
      <c r="D1006" s="4"/>
      <c r="E1006" s="4"/>
      <c r="F1006" s="4"/>
      <c r="G1006" s="4"/>
      <c r="H1006" s="4"/>
      <c r="I1006" s="4"/>
      <c r="J1006" s="4"/>
      <c r="K1006" s="4"/>
      <c r="L1006" s="4"/>
      <c r="M1006" s="4"/>
      <c r="N1006" s="4"/>
      <c r="O1006" s="4"/>
      <c r="P1006" s="4"/>
      <c r="Q1006" s="4"/>
      <c r="R1006" s="4"/>
      <c r="S1006" s="4"/>
      <c r="T1006" s="4"/>
      <c r="U1006" s="4"/>
      <c r="V1006" s="4"/>
      <c r="W1006" s="4"/>
    </row>
    <row r="1007" spans="1:23" ht="15.75" customHeight="1" x14ac:dyDescent="0.25">
      <c r="A1007" s="4"/>
      <c r="B1007" s="4"/>
      <c r="C1007" s="4"/>
      <c r="D1007" s="4"/>
      <c r="E1007" s="4"/>
      <c r="F1007" s="4"/>
      <c r="G1007" s="4"/>
      <c r="H1007" s="4"/>
      <c r="I1007" s="4"/>
      <c r="J1007" s="4"/>
      <c r="K1007" s="4"/>
      <c r="L1007" s="4"/>
      <c r="M1007" s="4"/>
      <c r="N1007" s="4"/>
      <c r="O1007" s="4"/>
      <c r="P1007" s="4"/>
      <c r="Q1007" s="4"/>
      <c r="R1007" s="4"/>
      <c r="S1007" s="4"/>
      <c r="T1007" s="4"/>
      <c r="U1007" s="4"/>
      <c r="V1007" s="4"/>
      <c r="W1007" s="4"/>
    </row>
    <row r="1008" spans="1:23" ht="15.75" customHeight="1" x14ac:dyDescent="0.25">
      <c r="A1008" s="4"/>
      <c r="B1008" s="4"/>
      <c r="C1008" s="4"/>
      <c r="D1008" s="4"/>
      <c r="E1008" s="4"/>
      <c r="F1008" s="4"/>
      <c r="G1008" s="4"/>
      <c r="H1008" s="4"/>
      <c r="I1008" s="4"/>
      <c r="J1008" s="4"/>
      <c r="K1008" s="4"/>
      <c r="L1008" s="4"/>
      <c r="M1008" s="4"/>
      <c r="N1008" s="4"/>
      <c r="O1008" s="4"/>
      <c r="P1008" s="4"/>
      <c r="Q1008" s="4"/>
      <c r="R1008" s="4"/>
      <c r="S1008" s="4"/>
      <c r="T1008" s="4"/>
      <c r="U1008" s="4"/>
      <c r="V1008" s="4"/>
      <c r="W1008" s="4"/>
    </row>
    <row r="1009" spans="1:23" ht="15.75" customHeight="1" x14ac:dyDescent="0.25">
      <c r="A1009" s="4"/>
      <c r="B1009" s="4"/>
      <c r="C1009" s="4"/>
      <c r="D1009" s="4"/>
      <c r="E1009" s="4"/>
      <c r="F1009" s="4"/>
      <c r="G1009" s="4"/>
      <c r="H1009" s="4"/>
      <c r="I1009" s="4"/>
      <c r="J1009" s="4"/>
      <c r="K1009" s="4"/>
      <c r="L1009" s="4"/>
      <c r="M1009" s="4"/>
      <c r="N1009" s="4"/>
      <c r="O1009" s="4"/>
      <c r="P1009" s="4"/>
      <c r="Q1009" s="4"/>
      <c r="R1009" s="4"/>
      <c r="S1009" s="4"/>
      <c r="T1009" s="4"/>
      <c r="U1009" s="4"/>
      <c r="V1009" s="4"/>
      <c r="W1009" s="4"/>
    </row>
    <row r="1010" spans="1:23" ht="15.75" customHeight="1" x14ac:dyDescent="0.25">
      <c r="A1010" s="4"/>
      <c r="B1010" s="4"/>
      <c r="C1010" s="4"/>
      <c r="D1010" s="4"/>
      <c r="E1010" s="4"/>
      <c r="F1010" s="4"/>
      <c r="G1010" s="4"/>
      <c r="H1010" s="4"/>
      <c r="I1010" s="4"/>
      <c r="J1010" s="4"/>
      <c r="K1010" s="4"/>
      <c r="L1010" s="4"/>
      <c r="M1010" s="4"/>
      <c r="N1010" s="4"/>
      <c r="O1010" s="4"/>
      <c r="P1010" s="4"/>
      <c r="Q1010" s="4"/>
      <c r="R1010" s="4"/>
      <c r="S1010" s="4"/>
      <c r="T1010" s="4"/>
      <c r="U1010" s="4"/>
      <c r="V1010" s="4"/>
      <c r="W1010" s="4"/>
    </row>
    <row r="1011" spans="1:23" ht="15.75" customHeight="1" x14ac:dyDescent="0.25">
      <c r="A1011" s="4"/>
      <c r="B1011" s="4"/>
      <c r="C1011" s="4"/>
      <c r="D1011" s="4"/>
      <c r="E1011" s="4"/>
      <c r="F1011" s="4"/>
      <c r="G1011" s="4"/>
      <c r="H1011" s="4"/>
      <c r="I1011" s="4"/>
      <c r="J1011" s="4"/>
      <c r="K1011" s="4"/>
      <c r="L1011" s="4"/>
      <c r="M1011" s="4"/>
      <c r="N1011" s="4"/>
      <c r="O1011" s="4"/>
      <c r="P1011" s="4"/>
      <c r="Q1011" s="4"/>
      <c r="R1011" s="4"/>
      <c r="S1011" s="4"/>
      <c r="T1011" s="4"/>
      <c r="U1011" s="4"/>
      <c r="V1011" s="4"/>
      <c r="W1011" s="4"/>
    </row>
    <row r="1012" spans="1:23" ht="15.75" customHeight="1" x14ac:dyDescent="0.25">
      <c r="A1012" s="4"/>
      <c r="B1012" s="4"/>
      <c r="C1012" s="4"/>
      <c r="D1012" s="4"/>
      <c r="E1012" s="4"/>
      <c r="F1012" s="4"/>
      <c r="G1012" s="4"/>
      <c r="H1012" s="4"/>
      <c r="I1012" s="4"/>
      <c r="J1012" s="4"/>
      <c r="K1012" s="4"/>
      <c r="L1012" s="4"/>
      <c r="M1012" s="4"/>
      <c r="N1012" s="4"/>
      <c r="O1012" s="4"/>
      <c r="P1012" s="4"/>
      <c r="Q1012" s="4"/>
      <c r="R1012" s="4"/>
      <c r="S1012" s="4"/>
      <c r="T1012" s="4"/>
      <c r="U1012" s="4"/>
      <c r="V1012" s="4"/>
      <c r="W1012" s="4"/>
    </row>
    <row r="1013" spans="1:23" ht="15.75" customHeight="1" x14ac:dyDescent="0.25">
      <c r="A1013" s="4"/>
      <c r="B1013" s="4"/>
      <c r="C1013" s="4"/>
      <c r="D1013" s="4"/>
      <c r="E1013" s="4"/>
      <c r="F1013" s="4"/>
      <c r="G1013" s="4"/>
      <c r="H1013" s="4"/>
      <c r="I1013" s="4"/>
      <c r="J1013" s="4"/>
      <c r="K1013" s="4"/>
      <c r="L1013" s="4"/>
      <c r="M1013" s="4"/>
      <c r="N1013" s="4"/>
      <c r="O1013" s="4"/>
      <c r="P1013" s="4"/>
      <c r="Q1013" s="4"/>
      <c r="R1013" s="4"/>
      <c r="S1013" s="4"/>
      <c r="T1013" s="4"/>
      <c r="U1013" s="4"/>
      <c r="V1013" s="4"/>
      <c r="W1013" s="4"/>
    </row>
    <row r="1014" spans="1:23" ht="15.75" customHeight="1" x14ac:dyDescent="0.25">
      <c r="A1014" s="4"/>
      <c r="B1014" s="4"/>
      <c r="C1014" s="4"/>
      <c r="D1014" s="4"/>
      <c r="E1014" s="4"/>
      <c r="F1014" s="4"/>
      <c r="G1014" s="4"/>
      <c r="H1014" s="4"/>
      <c r="I1014" s="4"/>
      <c r="J1014" s="4"/>
      <c r="K1014" s="4"/>
      <c r="L1014" s="4"/>
      <c r="M1014" s="4"/>
      <c r="N1014" s="4"/>
      <c r="O1014" s="4"/>
      <c r="P1014" s="4"/>
      <c r="Q1014" s="4"/>
      <c r="R1014" s="4"/>
      <c r="S1014" s="4"/>
      <c r="T1014" s="4"/>
      <c r="U1014" s="4"/>
      <c r="V1014" s="4"/>
      <c r="W1014" s="4"/>
    </row>
    <row r="1015" spans="1:23" ht="15.75" customHeight="1" x14ac:dyDescent="0.25">
      <c r="A1015" s="4"/>
      <c r="B1015" s="4"/>
      <c r="C1015" s="4"/>
      <c r="D1015" s="4"/>
      <c r="E1015" s="4"/>
      <c r="F1015" s="4"/>
      <c r="G1015" s="4"/>
      <c r="H1015" s="4"/>
      <c r="I1015" s="4"/>
      <c r="J1015" s="4"/>
      <c r="K1015" s="4"/>
      <c r="L1015" s="4"/>
      <c r="M1015" s="4"/>
      <c r="N1015" s="4"/>
      <c r="O1015" s="4"/>
      <c r="P1015" s="4"/>
      <c r="Q1015" s="4"/>
      <c r="R1015" s="4"/>
      <c r="S1015" s="4"/>
      <c r="T1015" s="4"/>
      <c r="U1015" s="4"/>
      <c r="V1015" s="4"/>
      <c r="W1015" s="4"/>
    </row>
    <row r="1016" spans="1:23" ht="15.75" customHeight="1" x14ac:dyDescent="0.25">
      <c r="A1016" s="4"/>
      <c r="B1016" s="4"/>
      <c r="C1016" s="4"/>
      <c r="D1016" s="4"/>
      <c r="E1016" s="4"/>
      <c r="F1016" s="4"/>
      <c r="G1016" s="4"/>
      <c r="H1016" s="4"/>
      <c r="I1016" s="4"/>
      <c r="J1016" s="4"/>
      <c r="K1016" s="4"/>
      <c r="L1016" s="4"/>
      <c r="M1016" s="4"/>
      <c r="N1016" s="4"/>
      <c r="O1016" s="4"/>
      <c r="P1016" s="4"/>
      <c r="Q1016" s="4"/>
      <c r="R1016" s="4"/>
      <c r="S1016" s="4"/>
      <c r="T1016" s="4"/>
      <c r="U1016" s="4"/>
      <c r="V1016" s="4"/>
      <c r="W1016" s="4"/>
    </row>
    <row r="1017" spans="1:23" ht="15.75" customHeight="1" x14ac:dyDescent="0.25">
      <c r="A1017" s="4"/>
      <c r="B1017" s="4"/>
      <c r="C1017" s="4"/>
      <c r="D1017" s="4"/>
      <c r="E1017" s="4"/>
      <c r="F1017" s="4"/>
      <c r="G1017" s="4"/>
      <c r="H1017" s="4"/>
      <c r="I1017" s="4"/>
      <c r="J1017" s="4"/>
      <c r="K1017" s="4"/>
      <c r="L1017" s="4"/>
      <c r="M1017" s="4"/>
      <c r="N1017" s="4"/>
      <c r="O1017" s="4"/>
      <c r="P1017" s="4"/>
      <c r="Q1017" s="4"/>
      <c r="R1017" s="4"/>
      <c r="S1017" s="4"/>
      <c r="T1017" s="4"/>
      <c r="U1017" s="4"/>
      <c r="V1017" s="4"/>
      <c r="W1017" s="4"/>
    </row>
    <row r="1018" spans="1:23" ht="15.75" customHeight="1" x14ac:dyDescent="0.25">
      <c r="A1018" s="4"/>
      <c r="B1018" s="4"/>
      <c r="C1018" s="4"/>
      <c r="D1018" s="4"/>
      <c r="E1018" s="4"/>
      <c r="F1018" s="4"/>
      <c r="G1018" s="4"/>
      <c r="H1018" s="4"/>
      <c r="I1018" s="4"/>
      <c r="J1018" s="4"/>
      <c r="K1018" s="4"/>
      <c r="L1018" s="4"/>
      <c r="M1018" s="4"/>
      <c r="N1018" s="4"/>
      <c r="O1018" s="4"/>
      <c r="P1018" s="4"/>
      <c r="Q1018" s="4"/>
      <c r="R1018" s="4"/>
      <c r="S1018" s="4"/>
      <c r="T1018" s="4"/>
      <c r="U1018" s="4"/>
      <c r="V1018" s="4"/>
      <c r="W1018" s="4"/>
    </row>
    <row r="1019" spans="1:23" ht="15.75" customHeight="1" x14ac:dyDescent="0.25">
      <c r="A1019" s="4"/>
      <c r="B1019" s="4"/>
      <c r="C1019" s="4"/>
      <c r="D1019" s="4"/>
      <c r="E1019" s="4"/>
      <c r="F1019" s="4"/>
      <c r="G1019" s="4"/>
      <c r="H1019" s="4"/>
      <c r="I1019" s="4"/>
      <c r="J1019" s="4"/>
      <c r="K1019" s="4"/>
      <c r="L1019" s="4"/>
      <c r="M1019" s="4"/>
      <c r="N1019" s="4"/>
      <c r="O1019" s="4"/>
      <c r="P1019" s="4"/>
      <c r="Q1019" s="4"/>
      <c r="R1019" s="4"/>
      <c r="S1019" s="4"/>
      <c r="T1019" s="4"/>
      <c r="U1019" s="4"/>
      <c r="V1019" s="4"/>
      <c r="W1019" s="4"/>
    </row>
    <row r="1020" spans="1:23" ht="15.75" customHeight="1" x14ac:dyDescent="0.25">
      <c r="A1020" s="4"/>
      <c r="B1020" s="4"/>
      <c r="C1020" s="4"/>
      <c r="D1020" s="4"/>
      <c r="E1020" s="4"/>
      <c r="F1020" s="4"/>
      <c r="G1020" s="4"/>
      <c r="H1020" s="4"/>
      <c r="I1020" s="4"/>
      <c r="J1020" s="4"/>
      <c r="K1020" s="4"/>
      <c r="L1020" s="4"/>
      <c r="M1020" s="4"/>
      <c r="N1020" s="4"/>
      <c r="O1020" s="4"/>
      <c r="P1020" s="4"/>
      <c r="Q1020" s="4"/>
      <c r="R1020" s="4"/>
      <c r="S1020" s="4"/>
      <c r="T1020" s="4"/>
      <c r="U1020" s="4"/>
      <c r="V1020" s="4"/>
      <c r="W1020" s="4"/>
    </row>
    <row r="1021" spans="1:23" ht="15.75" customHeight="1" x14ac:dyDescent="0.25">
      <c r="A1021" s="4"/>
      <c r="B1021" s="4"/>
      <c r="C1021" s="4"/>
      <c r="D1021" s="4"/>
      <c r="E1021" s="4"/>
      <c r="F1021" s="4"/>
      <c r="G1021" s="4"/>
      <c r="H1021" s="4"/>
      <c r="I1021" s="4"/>
      <c r="J1021" s="4"/>
      <c r="K1021" s="4"/>
      <c r="L1021" s="4"/>
      <c r="M1021" s="4"/>
      <c r="N1021" s="4"/>
      <c r="O1021" s="4"/>
      <c r="P1021" s="4"/>
      <c r="Q1021" s="4"/>
      <c r="R1021" s="4"/>
      <c r="S1021" s="4"/>
      <c r="T1021" s="4"/>
      <c r="U1021" s="4"/>
      <c r="V1021" s="4"/>
      <c r="W1021" s="4"/>
    </row>
    <row r="1022" spans="1:23" ht="15.75" customHeight="1" x14ac:dyDescent="0.25">
      <c r="A1022" s="4"/>
      <c r="B1022" s="4"/>
      <c r="C1022" s="4"/>
      <c r="D1022" s="4"/>
      <c r="E1022" s="4"/>
      <c r="F1022" s="4"/>
      <c r="G1022" s="4"/>
      <c r="H1022" s="4"/>
      <c r="I1022" s="4"/>
      <c r="J1022" s="4"/>
      <c r="K1022" s="4"/>
      <c r="L1022" s="4"/>
      <c r="M1022" s="4"/>
      <c r="N1022" s="4"/>
      <c r="O1022" s="4"/>
      <c r="P1022" s="4"/>
      <c r="Q1022" s="4"/>
      <c r="R1022" s="4"/>
      <c r="S1022" s="4"/>
      <c r="T1022" s="4"/>
      <c r="U1022" s="4"/>
      <c r="V1022" s="4"/>
      <c r="W1022" s="4"/>
    </row>
    <row r="1023" spans="1:23" ht="15.75" customHeight="1" x14ac:dyDescent="0.25">
      <c r="A1023" s="4"/>
      <c r="B1023" s="4"/>
      <c r="C1023" s="4"/>
      <c r="D1023" s="4"/>
      <c r="E1023" s="4"/>
      <c r="F1023" s="4"/>
      <c r="G1023" s="4"/>
      <c r="H1023" s="4"/>
      <c r="I1023" s="4"/>
      <c r="J1023" s="4"/>
      <c r="K1023" s="4"/>
      <c r="L1023" s="4"/>
      <c r="M1023" s="4"/>
      <c r="N1023" s="4"/>
      <c r="O1023" s="4"/>
      <c r="P1023" s="4"/>
      <c r="Q1023" s="4"/>
      <c r="R1023" s="4"/>
      <c r="S1023" s="4"/>
      <c r="T1023" s="4"/>
      <c r="U1023" s="4"/>
      <c r="V1023" s="4"/>
      <c r="W1023" s="4"/>
    </row>
    <row r="1024" spans="1:23" ht="15.75" customHeight="1" x14ac:dyDescent="0.25">
      <c r="A1024" s="4"/>
      <c r="B1024" s="4"/>
      <c r="C1024" s="4"/>
      <c r="D1024" s="4"/>
      <c r="E1024" s="4"/>
      <c r="F1024" s="4"/>
      <c r="G1024" s="4"/>
      <c r="H1024" s="4"/>
      <c r="I1024" s="4"/>
      <c r="J1024" s="4"/>
      <c r="K1024" s="4"/>
      <c r="L1024" s="4"/>
      <c r="M1024" s="4"/>
      <c r="N1024" s="4"/>
      <c r="O1024" s="4"/>
      <c r="P1024" s="4"/>
      <c r="Q1024" s="4"/>
      <c r="R1024" s="4"/>
      <c r="S1024" s="4"/>
      <c r="T1024" s="4"/>
      <c r="U1024" s="4"/>
      <c r="V1024" s="4"/>
      <c r="W1024" s="4"/>
    </row>
    <row r="1025" spans="1:23" ht="15.75" customHeight="1" x14ac:dyDescent="0.25">
      <c r="A1025" s="4"/>
      <c r="B1025" s="4"/>
      <c r="C1025" s="4"/>
      <c r="D1025" s="4"/>
      <c r="E1025" s="4"/>
      <c r="F1025" s="4"/>
      <c r="G1025" s="4"/>
      <c r="H1025" s="4"/>
      <c r="I1025" s="4"/>
      <c r="J1025" s="4"/>
      <c r="K1025" s="4"/>
      <c r="L1025" s="4"/>
      <c r="M1025" s="4"/>
      <c r="N1025" s="4"/>
      <c r="O1025" s="4"/>
      <c r="P1025" s="4"/>
      <c r="Q1025" s="4"/>
      <c r="R1025" s="4"/>
      <c r="S1025" s="4"/>
      <c r="T1025" s="4"/>
      <c r="U1025" s="4"/>
      <c r="V1025" s="4"/>
      <c r="W1025" s="4"/>
    </row>
    <row r="1026" spans="1:23" ht="15.75" customHeight="1" x14ac:dyDescent="0.25">
      <c r="A1026" s="4"/>
      <c r="B1026" s="4"/>
      <c r="C1026" s="4"/>
      <c r="D1026" s="4"/>
      <c r="E1026" s="4"/>
      <c r="F1026" s="4"/>
      <c r="G1026" s="4"/>
      <c r="H1026" s="4"/>
      <c r="I1026" s="4"/>
      <c r="J1026" s="4"/>
      <c r="K1026" s="4"/>
      <c r="L1026" s="4"/>
      <c r="M1026" s="4"/>
      <c r="N1026" s="4"/>
      <c r="O1026" s="4"/>
      <c r="P1026" s="4"/>
      <c r="Q1026" s="4"/>
      <c r="R1026" s="4"/>
      <c r="S1026" s="4"/>
      <c r="T1026" s="4"/>
      <c r="U1026" s="4"/>
      <c r="V1026" s="4"/>
      <c r="W1026" s="4"/>
    </row>
    <row r="1027" spans="1:23" ht="15.75" customHeight="1" x14ac:dyDescent="0.25">
      <c r="A1027" s="4"/>
      <c r="B1027" s="4"/>
      <c r="C1027" s="4"/>
      <c r="D1027" s="4"/>
      <c r="E1027" s="4"/>
      <c r="F1027" s="4"/>
      <c r="G1027" s="4"/>
      <c r="H1027" s="4"/>
      <c r="I1027" s="4"/>
      <c r="J1027" s="4"/>
      <c r="K1027" s="4"/>
      <c r="L1027" s="4"/>
      <c r="M1027" s="4"/>
      <c r="N1027" s="4"/>
      <c r="O1027" s="4"/>
      <c r="P1027" s="4"/>
      <c r="Q1027" s="4"/>
      <c r="R1027" s="4"/>
      <c r="S1027" s="4"/>
      <c r="T1027" s="4"/>
      <c r="U1027" s="4"/>
      <c r="V1027" s="4"/>
      <c r="W1027" s="4"/>
    </row>
    <row r="1028" spans="1:23" ht="15.75" customHeight="1" x14ac:dyDescent="0.25">
      <c r="A1028" s="4"/>
      <c r="B1028" s="4"/>
      <c r="C1028" s="4"/>
      <c r="D1028" s="4"/>
      <c r="E1028" s="4"/>
      <c r="F1028" s="4"/>
      <c r="G1028" s="4"/>
      <c r="H1028" s="4"/>
      <c r="I1028" s="4"/>
      <c r="J1028" s="4"/>
      <c r="K1028" s="4"/>
      <c r="L1028" s="4"/>
      <c r="M1028" s="4"/>
      <c r="N1028" s="4"/>
      <c r="O1028" s="4"/>
      <c r="P1028" s="4"/>
      <c r="Q1028" s="4"/>
      <c r="R1028" s="4"/>
      <c r="S1028" s="4"/>
      <c r="T1028" s="4"/>
      <c r="U1028" s="4"/>
      <c r="V1028" s="4"/>
      <c r="W1028" s="4"/>
    </row>
    <row r="1029" spans="1:23" ht="15.75" customHeight="1" x14ac:dyDescent="0.25">
      <c r="A1029" s="4"/>
      <c r="B1029" s="4"/>
      <c r="C1029" s="4"/>
      <c r="D1029" s="4"/>
      <c r="E1029" s="4"/>
      <c r="F1029" s="4"/>
      <c r="G1029" s="4"/>
      <c r="H1029" s="4"/>
      <c r="I1029" s="4"/>
      <c r="J1029" s="4"/>
      <c r="K1029" s="4"/>
      <c r="L1029" s="4"/>
      <c r="M1029" s="4"/>
      <c r="N1029" s="4"/>
      <c r="O1029" s="4"/>
      <c r="P1029" s="4"/>
      <c r="Q1029" s="4"/>
      <c r="R1029" s="4"/>
      <c r="S1029" s="4"/>
      <c r="T1029" s="4"/>
      <c r="U1029" s="4"/>
      <c r="V1029" s="4"/>
      <c r="W1029" s="4"/>
    </row>
    <row r="1030" spans="1:23" ht="15.75" customHeight="1" x14ac:dyDescent="0.25">
      <c r="A1030" s="4"/>
      <c r="B1030" s="4"/>
      <c r="C1030" s="4"/>
      <c r="D1030" s="4"/>
      <c r="E1030" s="4"/>
      <c r="F1030" s="4"/>
      <c r="G1030" s="4"/>
      <c r="H1030" s="4"/>
      <c r="I1030" s="4"/>
      <c r="J1030" s="4"/>
      <c r="K1030" s="4"/>
      <c r="L1030" s="4"/>
      <c r="M1030" s="4"/>
      <c r="N1030" s="4"/>
      <c r="O1030" s="4"/>
      <c r="P1030" s="4"/>
      <c r="Q1030" s="4"/>
      <c r="R1030" s="4"/>
      <c r="S1030" s="4"/>
      <c r="T1030" s="4"/>
      <c r="U1030" s="4"/>
      <c r="V1030" s="4"/>
      <c r="W1030" s="4"/>
    </row>
    <row r="1031" spans="1:23" ht="15.75" customHeight="1" x14ac:dyDescent="0.25">
      <c r="A1031" s="4"/>
      <c r="B1031" s="4"/>
      <c r="C1031" s="4"/>
      <c r="D1031" s="4"/>
      <c r="E1031" s="4"/>
      <c r="F1031" s="4"/>
      <c r="G1031" s="4"/>
      <c r="H1031" s="4"/>
      <c r="I1031" s="4"/>
      <c r="J1031" s="4"/>
      <c r="K1031" s="4"/>
      <c r="L1031" s="4"/>
      <c r="M1031" s="4"/>
      <c r="N1031" s="4"/>
      <c r="O1031" s="4"/>
      <c r="P1031" s="4"/>
      <c r="Q1031" s="4"/>
      <c r="R1031" s="4"/>
      <c r="S1031" s="4"/>
      <c r="T1031" s="4"/>
      <c r="U1031" s="4"/>
      <c r="V1031" s="4"/>
      <c r="W1031" s="4"/>
    </row>
    <row r="1032" spans="1:23" ht="15.75" customHeight="1" x14ac:dyDescent="0.25">
      <c r="A1032" s="4"/>
      <c r="B1032" s="4"/>
      <c r="C1032" s="4"/>
      <c r="D1032" s="4"/>
      <c r="E1032" s="4"/>
      <c r="F1032" s="4"/>
      <c r="G1032" s="4"/>
      <c r="H1032" s="4"/>
      <c r="I1032" s="4"/>
      <c r="J1032" s="4"/>
      <c r="K1032" s="4"/>
      <c r="L1032" s="4"/>
      <c r="M1032" s="4"/>
      <c r="N1032" s="4"/>
      <c r="O1032" s="4"/>
      <c r="P1032" s="4"/>
      <c r="Q1032" s="4"/>
      <c r="R1032" s="4"/>
      <c r="S1032" s="4"/>
      <c r="T1032" s="4"/>
      <c r="U1032" s="4"/>
      <c r="V1032" s="4"/>
      <c r="W1032" s="4"/>
    </row>
    <row r="1033" spans="1:23" ht="15.75" customHeight="1" x14ac:dyDescent="0.25">
      <c r="A1033" s="4"/>
      <c r="B1033" s="4"/>
      <c r="C1033" s="4"/>
      <c r="D1033" s="4"/>
      <c r="E1033" s="4"/>
      <c r="F1033" s="4"/>
      <c r="G1033" s="4"/>
      <c r="H1033" s="4"/>
      <c r="I1033" s="4"/>
      <c r="J1033" s="4"/>
      <c r="K1033" s="4"/>
      <c r="L1033" s="4"/>
      <c r="M1033" s="4"/>
      <c r="N1033" s="4"/>
      <c r="O1033" s="4"/>
      <c r="P1033" s="4"/>
      <c r="Q1033" s="4"/>
      <c r="R1033" s="4"/>
      <c r="S1033" s="4"/>
      <c r="T1033" s="4"/>
      <c r="U1033" s="4"/>
      <c r="V1033" s="4"/>
      <c r="W1033" s="4"/>
    </row>
    <row r="1034" spans="1:23" ht="15.75" customHeight="1" x14ac:dyDescent="0.25">
      <c r="A1034" s="4"/>
      <c r="B1034" s="4"/>
      <c r="C1034" s="4"/>
      <c r="D1034" s="4"/>
      <c r="E1034" s="4"/>
      <c r="F1034" s="4"/>
      <c r="G1034" s="4"/>
      <c r="H1034" s="4"/>
      <c r="I1034" s="4"/>
      <c r="J1034" s="4"/>
      <c r="K1034" s="4"/>
      <c r="L1034" s="4"/>
      <c r="M1034" s="4"/>
      <c r="N1034" s="4"/>
      <c r="O1034" s="4"/>
      <c r="P1034" s="4"/>
      <c r="Q1034" s="4"/>
      <c r="R1034" s="4"/>
      <c r="S1034" s="4"/>
      <c r="T1034" s="4"/>
      <c r="U1034" s="4"/>
      <c r="V1034" s="4"/>
      <c r="W1034" s="4"/>
    </row>
    <row r="1035" spans="1:23" ht="15.75" customHeight="1" x14ac:dyDescent="0.25">
      <c r="A1035" s="4"/>
      <c r="B1035" s="4"/>
      <c r="C1035" s="4"/>
      <c r="D1035" s="4"/>
      <c r="E1035" s="4"/>
      <c r="F1035" s="4"/>
      <c r="G1035" s="4"/>
      <c r="H1035" s="4"/>
      <c r="I1035" s="4"/>
      <c r="J1035" s="4"/>
      <c r="K1035" s="4"/>
      <c r="L1035" s="4"/>
      <c r="M1035" s="4"/>
      <c r="N1035" s="4"/>
      <c r="O1035" s="4"/>
      <c r="P1035" s="4"/>
      <c r="Q1035" s="4"/>
      <c r="R1035" s="4"/>
      <c r="S1035" s="4"/>
      <c r="T1035" s="4"/>
      <c r="U1035" s="4"/>
      <c r="V1035" s="4"/>
      <c r="W1035" s="4"/>
    </row>
    <row r="1036" spans="1:23" ht="15.75" customHeight="1" x14ac:dyDescent="0.25">
      <c r="A1036" s="4"/>
      <c r="B1036" s="4"/>
      <c r="C1036" s="4"/>
      <c r="D1036" s="4"/>
      <c r="E1036" s="4"/>
      <c r="F1036" s="4"/>
      <c r="G1036" s="4"/>
      <c r="H1036" s="4"/>
      <c r="I1036" s="4"/>
      <c r="J1036" s="4"/>
      <c r="K1036" s="4"/>
      <c r="L1036" s="4"/>
      <c r="M1036" s="4"/>
      <c r="N1036" s="4"/>
      <c r="O1036" s="4"/>
      <c r="P1036" s="4"/>
      <c r="Q1036" s="4"/>
      <c r="R1036" s="4"/>
      <c r="S1036" s="4"/>
      <c r="T1036" s="4"/>
      <c r="U1036" s="4"/>
      <c r="V1036" s="4"/>
      <c r="W1036" s="4"/>
    </row>
    <row r="1037" spans="1:23" ht="15.75" customHeight="1" x14ac:dyDescent="0.25">
      <c r="A1037" s="4"/>
      <c r="B1037" s="4"/>
      <c r="C1037" s="4"/>
      <c r="D1037" s="4"/>
      <c r="E1037" s="4"/>
      <c r="F1037" s="4"/>
      <c r="G1037" s="4"/>
      <c r="H1037" s="4"/>
      <c r="I1037" s="4"/>
      <c r="J1037" s="4"/>
      <c r="K1037" s="4"/>
      <c r="L1037" s="4"/>
      <c r="M1037" s="4"/>
      <c r="N1037" s="4"/>
      <c r="O1037" s="4"/>
      <c r="P1037" s="4"/>
      <c r="Q1037" s="4"/>
      <c r="R1037" s="4"/>
      <c r="S1037" s="4"/>
      <c r="T1037" s="4"/>
      <c r="U1037" s="4"/>
      <c r="V1037" s="4"/>
      <c r="W1037" s="4"/>
    </row>
    <row r="1038" spans="1:23" ht="15.75" customHeight="1" x14ac:dyDescent="0.25">
      <c r="A1038" s="4"/>
      <c r="B1038" s="4"/>
      <c r="C1038" s="4"/>
      <c r="D1038" s="4"/>
      <c r="E1038" s="4"/>
      <c r="F1038" s="4"/>
      <c r="G1038" s="4"/>
      <c r="H1038" s="4"/>
      <c r="I1038" s="4"/>
      <c r="J1038" s="4"/>
      <c r="K1038" s="4"/>
      <c r="L1038" s="4"/>
      <c r="M1038" s="4"/>
      <c r="N1038" s="4"/>
      <c r="O1038" s="4"/>
      <c r="P1038" s="4"/>
      <c r="Q1038" s="4"/>
      <c r="R1038" s="4"/>
      <c r="S1038" s="4"/>
      <c r="T1038" s="4"/>
      <c r="U1038" s="4"/>
      <c r="V1038" s="4"/>
      <c r="W1038" s="4"/>
    </row>
    <row r="1039" spans="1:23" ht="15.75" customHeight="1" x14ac:dyDescent="0.25">
      <c r="A1039" s="4"/>
      <c r="B1039" s="4"/>
      <c r="C1039" s="4"/>
      <c r="D1039" s="4"/>
      <c r="E1039" s="4"/>
      <c r="F1039" s="4"/>
      <c r="G1039" s="4"/>
      <c r="H1039" s="4"/>
      <c r="I1039" s="4"/>
      <c r="J1039" s="4"/>
      <c r="K1039" s="4"/>
      <c r="L1039" s="4"/>
      <c r="M1039" s="4"/>
      <c r="N1039" s="4"/>
      <c r="O1039" s="4"/>
      <c r="P1039" s="4"/>
      <c r="Q1039" s="4"/>
      <c r="R1039" s="4"/>
      <c r="S1039" s="4"/>
      <c r="T1039" s="4"/>
      <c r="U1039" s="4"/>
      <c r="V1039" s="4"/>
      <c r="W1039" s="4"/>
    </row>
    <row r="1040" spans="1:23" ht="15.75" customHeight="1" x14ac:dyDescent="0.25">
      <c r="A1040" s="4"/>
      <c r="B1040" s="4"/>
      <c r="C1040" s="4"/>
      <c r="D1040" s="4"/>
      <c r="E1040" s="4"/>
      <c r="F1040" s="4"/>
      <c r="G1040" s="4"/>
      <c r="H1040" s="4"/>
      <c r="I1040" s="4"/>
      <c r="J1040" s="4"/>
      <c r="K1040" s="4"/>
      <c r="L1040" s="4"/>
      <c r="M1040" s="4"/>
      <c r="N1040" s="4"/>
      <c r="O1040" s="4"/>
      <c r="P1040" s="4"/>
      <c r="Q1040" s="4"/>
      <c r="R1040" s="4"/>
      <c r="S1040" s="4"/>
      <c r="T1040" s="4"/>
      <c r="U1040" s="4"/>
      <c r="V1040" s="4"/>
      <c r="W1040" s="4"/>
    </row>
    <row r="1041" spans="1:23" ht="15.75" customHeight="1" x14ac:dyDescent="0.25">
      <c r="A1041" s="4"/>
      <c r="B1041" s="4"/>
      <c r="C1041" s="4"/>
      <c r="D1041" s="4"/>
      <c r="E1041" s="4"/>
      <c r="F1041" s="4"/>
      <c r="G1041" s="4"/>
      <c r="H1041" s="4"/>
      <c r="I1041" s="4"/>
      <c r="J1041" s="4"/>
      <c r="K1041" s="4"/>
      <c r="L1041" s="4"/>
      <c r="M1041" s="4"/>
      <c r="N1041" s="4"/>
      <c r="O1041" s="4"/>
      <c r="P1041" s="4"/>
      <c r="Q1041" s="4"/>
      <c r="R1041" s="4"/>
      <c r="S1041" s="4"/>
      <c r="T1041" s="4"/>
      <c r="U1041" s="4"/>
      <c r="V1041" s="4"/>
      <c r="W1041" s="4"/>
    </row>
    <row r="1042" spans="1:23" ht="15.75" customHeight="1" x14ac:dyDescent="0.25">
      <c r="A1042" s="4"/>
      <c r="B1042" s="4"/>
      <c r="C1042" s="4"/>
      <c r="D1042" s="4"/>
      <c r="E1042" s="4"/>
      <c r="F1042" s="4"/>
      <c r="G1042" s="4"/>
      <c r="H1042" s="4"/>
      <c r="I1042" s="4"/>
      <c r="J1042" s="4"/>
      <c r="K1042" s="4"/>
      <c r="L1042" s="4"/>
      <c r="M1042" s="4"/>
      <c r="N1042" s="4"/>
      <c r="O1042" s="4"/>
      <c r="P1042" s="4"/>
      <c r="Q1042" s="4"/>
      <c r="R1042" s="4"/>
      <c r="S1042" s="4"/>
      <c r="T1042" s="4"/>
      <c r="U1042" s="4"/>
      <c r="V1042" s="4"/>
      <c r="W1042" s="4"/>
    </row>
    <row r="1043" spans="1:23" ht="15.75" customHeight="1" x14ac:dyDescent="0.25">
      <c r="A1043" s="4"/>
      <c r="B1043" s="4"/>
      <c r="C1043" s="4"/>
      <c r="D1043" s="4"/>
      <c r="E1043" s="4"/>
      <c r="F1043" s="4"/>
      <c r="G1043" s="4"/>
      <c r="H1043" s="4"/>
      <c r="I1043" s="4"/>
      <c r="J1043" s="4"/>
      <c r="K1043" s="4"/>
      <c r="L1043" s="4"/>
      <c r="M1043" s="4"/>
      <c r="N1043" s="4"/>
      <c r="O1043" s="4"/>
      <c r="P1043" s="4"/>
      <c r="Q1043" s="4"/>
      <c r="R1043" s="4"/>
      <c r="S1043" s="4"/>
      <c r="T1043" s="4"/>
      <c r="U1043" s="4"/>
      <c r="V1043" s="4"/>
      <c r="W1043" s="4"/>
    </row>
    <row r="1044" spans="1:23" ht="15.75" customHeight="1" x14ac:dyDescent="0.25">
      <c r="A1044" s="4"/>
      <c r="B1044" s="4"/>
      <c r="C1044" s="4"/>
      <c r="D1044" s="4"/>
      <c r="E1044" s="4"/>
      <c r="F1044" s="4"/>
      <c r="G1044" s="4"/>
      <c r="H1044" s="4"/>
      <c r="I1044" s="4"/>
      <c r="J1044" s="4"/>
      <c r="K1044" s="4"/>
      <c r="L1044" s="4"/>
      <c r="M1044" s="4"/>
      <c r="N1044" s="4"/>
      <c r="O1044" s="4"/>
      <c r="P1044" s="4"/>
      <c r="Q1044" s="4"/>
      <c r="R1044" s="4"/>
      <c r="S1044" s="4"/>
      <c r="T1044" s="4"/>
      <c r="U1044" s="4"/>
      <c r="V1044" s="4"/>
      <c r="W1044" s="4"/>
    </row>
    <row r="1045" spans="1:23" ht="15.75" customHeight="1" x14ac:dyDescent="0.25">
      <c r="A1045" s="4"/>
      <c r="B1045" s="4"/>
      <c r="C1045" s="4"/>
      <c r="D1045" s="4"/>
      <c r="E1045" s="4"/>
      <c r="F1045" s="4"/>
      <c r="G1045" s="4"/>
      <c r="H1045" s="4"/>
      <c r="I1045" s="4"/>
      <c r="J1045" s="4"/>
      <c r="K1045" s="4"/>
      <c r="L1045" s="4"/>
      <c r="M1045" s="4"/>
      <c r="N1045" s="4"/>
      <c r="O1045" s="4"/>
      <c r="P1045" s="4"/>
      <c r="Q1045" s="4"/>
      <c r="R1045" s="4"/>
      <c r="S1045" s="4"/>
      <c r="T1045" s="4"/>
      <c r="U1045" s="4"/>
      <c r="V1045" s="4"/>
      <c r="W1045" s="4"/>
    </row>
    <row r="1046" spans="1:23" ht="15.75" customHeight="1" x14ac:dyDescent="0.25">
      <c r="A1046" s="4"/>
      <c r="B1046" s="4"/>
      <c r="C1046" s="4"/>
      <c r="D1046" s="4"/>
      <c r="E1046" s="4"/>
      <c r="F1046" s="4"/>
      <c r="G1046" s="4"/>
      <c r="H1046" s="4"/>
      <c r="I1046" s="4"/>
      <c r="J1046" s="4"/>
      <c r="K1046" s="4"/>
      <c r="L1046" s="4"/>
      <c r="M1046" s="4"/>
      <c r="N1046" s="4"/>
      <c r="O1046" s="4"/>
      <c r="P1046" s="4"/>
      <c r="Q1046" s="4"/>
      <c r="R1046" s="4"/>
      <c r="S1046" s="4"/>
      <c r="T1046" s="4"/>
      <c r="U1046" s="4"/>
      <c r="V1046" s="4"/>
      <c r="W1046" s="4"/>
    </row>
    <row r="1047" spans="1:23" ht="15.75" customHeight="1" x14ac:dyDescent="0.25">
      <c r="A1047" s="4"/>
      <c r="B1047" s="4"/>
      <c r="C1047" s="4"/>
      <c r="D1047" s="4"/>
      <c r="E1047" s="4"/>
      <c r="F1047" s="4"/>
      <c r="G1047" s="4"/>
      <c r="H1047" s="4"/>
      <c r="I1047" s="4"/>
      <c r="J1047" s="4"/>
      <c r="K1047" s="4"/>
      <c r="L1047" s="4"/>
      <c r="M1047" s="4"/>
      <c r="N1047" s="4"/>
      <c r="O1047" s="4"/>
      <c r="P1047" s="4"/>
      <c r="Q1047" s="4"/>
      <c r="R1047" s="4"/>
      <c r="S1047" s="4"/>
      <c r="T1047" s="4"/>
      <c r="U1047" s="4"/>
      <c r="V1047" s="4"/>
      <c r="W1047" s="4"/>
    </row>
    <row r="1048" spans="1:23" ht="15.75" customHeight="1" x14ac:dyDescent="0.25">
      <c r="A1048" s="4"/>
      <c r="B1048" s="4"/>
      <c r="C1048" s="4"/>
      <c r="D1048" s="4"/>
      <c r="E1048" s="4"/>
      <c r="F1048" s="4"/>
      <c r="G1048" s="4"/>
      <c r="H1048" s="4"/>
      <c r="I1048" s="4"/>
      <c r="J1048" s="4"/>
      <c r="K1048" s="4"/>
      <c r="L1048" s="4"/>
      <c r="M1048" s="4"/>
      <c r="N1048" s="4"/>
      <c r="O1048" s="4"/>
      <c r="P1048" s="4"/>
      <c r="Q1048" s="4"/>
      <c r="R1048" s="4"/>
      <c r="S1048" s="4"/>
      <c r="T1048" s="4"/>
      <c r="U1048" s="4"/>
      <c r="V1048" s="4"/>
      <c r="W1048" s="4"/>
    </row>
    <row r="1049" spans="1:23" ht="15.75" customHeight="1" x14ac:dyDescent="0.25">
      <c r="A1049" s="4"/>
      <c r="B1049" s="4"/>
      <c r="C1049" s="4"/>
      <c r="D1049" s="4"/>
      <c r="E1049" s="4"/>
      <c r="F1049" s="4"/>
      <c r="G1049" s="4"/>
      <c r="H1049" s="4"/>
      <c r="I1049" s="4"/>
      <c r="J1049" s="4"/>
      <c r="K1049" s="4"/>
      <c r="L1049" s="4"/>
      <c r="M1049" s="4"/>
      <c r="N1049" s="4"/>
      <c r="O1049" s="4"/>
      <c r="P1049" s="4"/>
      <c r="Q1049" s="4"/>
      <c r="R1049" s="4"/>
      <c r="S1049" s="4"/>
      <c r="T1049" s="4"/>
      <c r="U1049" s="4"/>
      <c r="V1049" s="4"/>
      <c r="W1049" s="4"/>
    </row>
    <row r="1050" spans="1:23" ht="15.75" customHeight="1" x14ac:dyDescent="0.25">
      <c r="A1050" s="4"/>
      <c r="B1050" s="4"/>
      <c r="C1050" s="4"/>
      <c r="D1050" s="4"/>
      <c r="E1050" s="4"/>
      <c r="F1050" s="4"/>
      <c r="G1050" s="4"/>
      <c r="H1050" s="4"/>
      <c r="I1050" s="4"/>
      <c r="J1050" s="4"/>
      <c r="K1050" s="4"/>
      <c r="L1050" s="4"/>
      <c r="M1050" s="4"/>
      <c r="N1050" s="4"/>
      <c r="O1050" s="4"/>
      <c r="P1050" s="4"/>
      <c r="Q1050" s="4"/>
      <c r="R1050" s="4"/>
      <c r="S1050" s="4"/>
      <c r="T1050" s="4"/>
      <c r="U1050" s="4"/>
      <c r="V1050" s="4"/>
      <c r="W1050" s="4"/>
    </row>
    <row r="1051" spans="1:23" ht="15.75" customHeight="1" x14ac:dyDescent="0.25">
      <c r="A1051" s="4"/>
      <c r="B1051" s="4"/>
      <c r="C1051" s="4"/>
      <c r="D1051" s="4"/>
      <c r="E1051" s="4"/>
      <c r="F1051" s="4"/>
      <c r="G1051" s="4"/>
      <c r="H1051" s="4"/>
      <c r="I1051" s="4"/>
      <c r="J1051" s="4"/>
      <c r="K1051" s="4"/>
      <c r="L1051" s="4"/>
      <c r="M1051" s="4"/>
      <c r="N1051" s="4"/>
      <c r="O1051" s="4"/>
      <c r="P1051" s="4"/>
      <c r="Q1051" s="4"/>
      <c r="R1051" s="4"/>
      <c r="S1051" s="4"/>
      <c r="T1051" s="4"/>
      <c r="U1051" s="4"/>
      <c r="V1051" s="4"/>
      <c r="W1051" s="4"/>
    </row>
    <row r="1052" spans="1:23" ht="15.75" customHeight="1" x14ac:dyDescent="0.25">
      <c r="A1052" s="4"/>
      <c r="B1052" s="4"/>
      <c r="C1052" s="4"/>
      <c r="D1052" s="4"/>
      <c r="E1052" s="4"/>
      <c r="F1052" s="4"/>
      <c r="G1052" s="4"/>
      <c r="H1052" s="4"/>
      <c r="I1052" s="4"/>
      <c r="J1052" s="4"/>
      <c r="K1052" s="4"/>
      <c r="L1052" s="4"/>
      <c r="M1052" s="4"/>
      <c r="N1052" s="4"/>
      <c r="O1052" s="4"/>
      <c r="P1052" s="4"/>
      <c r="Q1052" s="4"/>
      <c r="R1052" s="4"/>
      <c r="S1052" s="4"/>
      <c r="T1052" s="4"/>
      <c r="U1052" s="4"/>
      <c r="V1052" s="4"/>
      <c r="W1052" s="4"/>
    </row>
    <row r="1053" spans="1:23" ht="15.75" customHeight="1" x14ac:dyDescent="0.25">
      <c r="A1053" s="4"/>
      <c r="B1053" s="4"/>
      <c r="C1053" s="4"/>
      <c r="D1053" s="4"/>
      <c r="E1053" s="4"/>
      <c r="F1053" s="4"/>
      <c r="G1053" s="4"/>
      <c r="H1053" s="4"/>
      <c r="I1053" s="4"/>
      <c r="J1053" s="4"/>
      <c r="K1053" s="4"/>
      <c r="L1053" s="4"/>
      <c r="M1053" s="4"/>
      <c r="N1053" s="4"/>
      <c r="O1053" s="4"/>
      <c r="P1053" s="4"/>
      <c r="Q1053" s="4"/>
      <c r="R1053" s="4"/>
      <c r="S1053" s="4"/>
      <c r="T1053" s="4"/>
      <c r="U1053" s="4"/>
      <c r="V1053" s="4"/>
      <c r="W1053" s="4"/>
    </row>
    <row r="1054" spans="1:23" ht="15.75" customHeight="1" x14ac:dyDescent="0.25">
      <c r="A1054" s="4"/>
      <c r="B1054" s="4"/>
      <c r="C1054" s="4"/>
      <c r="D1054" s="4"/>
      <c r="E1054" s="4"/>
      <c r="F1054" s="4"/>
      <c r="G1054" s="4"/>
      <c r="H1054" s="4"/>
      <c r="I1054" s="4"/>
      <c r="J1054" s="4"/>
      <c r="K1054" s="4"/>
      <c r="L1054" s="4"/>
      <c r="M1054" s="4"/>
      <c r="N1054" s="4"/>
      <c r="O1054" s="4"/>
      <c r="P1054" s="4"/>
      <c r="Q1054" s="4"/>
      <c r="R1054" s="4"/>
      <c r="S1054" s="4"/>
      <c r="T1054" s="4"/>
      <c r="U1054" s="4"/>
      <c r="V1054" s="4"/>
      <c r="W1054" s="4"/>
    </row>
    <row r="1055" spans="1:23" ht="15.75" customHeight="1" x14ac:dyDescent="0.25">
      <c r="A1055" s="4"/>
      <c r="B1055" s="4"/>
      <c r="C1055" s="4"/>
      <c r="D1055" s="4"/>
      <c r="E1055" s="4"/>
      <c r="F1055" s="4"/>
      <c r="G1055" s="4"/>
      <c r="H1055" s="4"/>
      <c r="I1055" s="4"/>
      <c r="J1055" s="4"/>
      <c r="K1055" s="4"/>
      <c r="L1055" s="4"/>
      <c r="M1055" s="4"/>
      <c r="N1055" s="4"/>
      <c r="O1055" s="4"/>
      <c r="P1055" s="4"/>
      <c r="Q1055" s="4"/>
      <c r="R1055" s="4"/>
      <c r="S1055" s="4"/>
      <c r="T1055" s="4"/>
      <c r="U1055" s="4"/>
      <c r="V1055" s="4"/>
      <c r="W1055" s="4"/>
    </row>
    <row r="1056" spans="1:23" ht="15.75" customHeight="1" x14ac:dyDescent="0.25">
      <c r="A1056" s="4"/>
      <c r="B1056" s="4"/>
      <c r="C1056" s="4"/>
      <c r="D1056" s="4"/>
      <c r="E1056" s="4"/>
      <c r="F1056" s="4"/>
      <c r="G1056" s="4"/>
      <c r="H1056" s="4"/>
      <c r="I1056" s="4"/>
      <c r="J1056" s="4"/>
      <c r="K1056" s="4"/>
      <c r="L1056" s="4"/>
      <c r="M1056" s="4"/>
      <c r="N1056" s="4"/>
      <c r="O1056" s="4"/>
      <c r="P1056" s="4"/>
      <c r="Q1056" s="4"/>
      <c r="R1056" s="4"/>
      <c r="S1056" s="4"/>
      <c r="T1056" s="4"/>
      <c r="U1056" s="4"/>
      <c r="V1056" s="4"/>
      <c r="W1056" s="4"/>
    </row>
    <row r="1057" spans="1:23" ht="15.75" customHeight="1" x14ac:dyDescent="0.25">
      <c r="A1057" s="4"/>
      <c r="B1057" s="4"/>
      <c r="C1057" s="4"/>
      <c r="D1057" s="4"/>
      <c r="E1057" s="4"/>
      <c r="F1057" s="4"/>
      <c r="G1057" s="4"/>
      <c r="H1057" s="4"/>
      <c r="I1057" s="4"/>
      <c r="J1057" s="4"/>
      <c r="K1057" s="4"/>
      <c r="L1057" s="4"/>
      <c r="M1057" s="4"/>
      <c r="N1057" s="4"/>
      <c r="O1057" s="4"/>
      <c r="P1057" s="4"/>
      <c r="Q1057" s="4"/>
      <c r="R1057" s="4"/>
      <c r="S1057" s="4"/>
      <c r="T1057" s="4"/>
      <c r="U1057" s="4"/>
      <c r="V1057" s="4"/>
      <c r="W1057" s="4"/>
    </row>
    <row r="1058" spans="1:23" ht="15.75" customHeight="1" x14ac:dyDescent="0.25">
      <c r="A1058" s="4"/>
      <c r="B1058" s="4"/>
      <c r="C1058" s="4"/>
      <c r="D1058" s="4"/>
      <c r="E1058" s="4"/>
      <c r="F1058" s="4"/>
      <c r="G1058" s="4"/>
      <c r="H1058" s="4"/>
      <c r="I1058" s="4"/>
      <c r="J1058" s="4"/>
      <c r="K1058" s="4"/>
      <c r="L1058" s="4"/>
      <c r="M1058" s="4"/>
      <c r="N1058" s="4"/>
      <c r="O1058" s="4"/>
      <c r="P1058" s="4"/>
      <c r="Q1058" s="4"/>
      <c r="R1058" s="4"/>
      <c r="S1058" s="4"/>
      <c r="T1058" s="4"/>
      <c r="U1058" s="4"/>
      <c r="V1058" s="4"/>
      <c r="W1058" s="4"/>
    </row>
    <row r="1059" spans="1:23" ht="15.75" customHeight="1" x14ac:dyDescent="0.25">
      <c r="A1059" s="4"/>
      <c r="B1059" s="4"/>
      <c r="C1059" s="4"/>
      <c r="D1059" s="4"/>
      <c r="E1059" s="4"/>
      <c r="F1059" s="4"/>
      <c r="G1059" s="4"/>
      <c r="H1059" s="4"/>
      <c r="I1059" s="4"/>
      <c r="J1059" s="4"/>
      <c r="K1059" s="4"/>
      <c r="L1059" s="4"/>
      <c r="M1059" s="4"/>
      <c r="N1059" s="4"/>
      <c r="O1059" s="4"/>
      <c r="P1059" s="4"/>
      <c r="Q1059" s="4"/>
      <c r="R1059" s="4"/>
      <c r="S1059" s="4"/>
      <c r="T1059" s="4"/>
      <c r="U1059" s="4"/>
      <c r="V1059" s="4"/>
      <c r="W1059" s="4"/>
    </row>
    <row r="1060" spans="1:23" ht="15.75" customHeight="1" x14ac:dyDescent="0.25">
      <c r="A1060" s="4"/>
      <c r="B1060" s="4"/>
      <c r="C1060" s="4"/>
      <c r="D1060" s="4"/>
      <c r="E1060" s="4"/>
      <c r="F1060" s="4"/>
      <c r="G1060" s="4"/>
      <c r="H1060" s="4"/>
      <c r="I1060" s="4"/>
      <c r="J1060" s="4"/>
      <c r="K1060" s="4"/>
      <c r="L1060" s="4"/>
      <c r="M1060" s="4"/>
      <c r="N1060" s="4"/>
      <c r="O1060" s="4"/>
      <c r="P1060" s="4"/>
      <c r="Q1060" s="4"/>
      <c r="R1060" s="4"/>
      <c r="S1060" s="4"/>
      <c r="T1060" s="4"/>
      <c r="U1060" s="4"/>
      <c r="V1060" s="4"/>
      <c r="W1060" s="4"/>
    </row>
    <row r="1061" spans="1:23" ht="15.75" customHeight="1" x14ac:dyDescent="0.25">
      <c r="A1061" s="4"/>
      <c r="B1061" s="4"/>
      <c r="C1061" s="4"/>
      <c r="D1061" s="4"/>
      <c r="E1061" s="4"/>
      <c r="F1061" s="4"/>
      <c r="G1061" s="4"/>
      <c r="H1061" s="4"/>
      <c r="I1061" s="4"/>
      <c r="J1061" s="4"/>
      <c r="K1061" s="4"/>
      <c r="L1061" s="4"/>
      <c r="M1061" s="4"/>
      <c r="N1061" s="4"/>
      <c r="O1061" s="4"/>
      <c r="P1061" s="4"/>
      <c r="Q1061" s="4"/>
      <c r="R1061" s="4"/>
      <c r="S1061" s="4"/>
      <c r="T1061" s="4"/>
      <c r="U1061" s="4"/>
      <c r="V1061" s="4"/>
      <c r="W1061" s="4"/>
    </row>
    <row r="1062" spans="1:23" ht="15.75" customHeight="1" x14ac:dyDescent="0.25">
      <c r="A1062" s="4"/>
      <c r="B1062" s="4"/>
      <c r="C1062" s="4"/>
      <c r="D1062" s="4"/>
      <c r="E1062" s="4"/>
      <c r="F1062" s="4"/>
      <c r="G1062" s="4"/>
      <c r="H1062" s="4"/>
      <c r="I1062" s="4"/>
      <c r="J1062" s="4"/>
      <c r="K1062" s="4"/>
      <c r="L1062" s="4"/>
      <c r="M1062" s="4"/>
      <c r="N1062" s="4"/>
      <c r="O1062" s="4"/>
      <c r="P1062" s="4"/>
      <c r="Q1062" s="4"/>
      <c r="R1062" s="4"/>
      <c r="S1062" s="4"/>
      <c r="T1062" s="4"/>
      <c r="U1062" s="4"/>
      <c r="V1062" s="4"/>
      <c r="W1062" s="4"/>
    </row>
    <row r="1063" spans="1:23" ht="15.75" customHeight="1" x14ac:dyDescent="0.25">
      <c r="A1063" s="4"/>
      <c r="B1063" s="4"/>
      <c r="C1063" s="4"/>
      <c r="D1063" s="4"/>
      <c r="E1063" s="4"/>
      <c r="F1063" s="4"/>
      <c r="G1063" s="4"/>
      <c r="H1063" s="4"/>
      <c r="I1063" s="4"/>
      <c r="J1063" s="4"/>
      <c r="K1063" s="4"/>
      <c r="L1063" s="4"/>
      <c r="M1063" s="4"/>
      <c r="N1063" s="4"/>
      <c r="O1063" s="4"/>
      <c r="P1063" s="4"/>
      <c r="Q1063" s="4"/>
      <c r="R1063" s="4"/>
      <c r="S1063" s="4"/>
      <c r="T1063" s="4"/>
      <c r="U1063" s="4"/>
      <c r="V1063" s="4"/>
      <c r="W1063" s="4"/>
    </row>
    <row r="1064" spans="1:23" ht="15.75" customHeight="1" x14ac:dyDescent="0.25">
      <c r="A1064" s="4"/>
      <c r="B1064" s="4"/>
      <c r="C1064" s="4"/>
      <c r="D1064" s="4"/>
      <c r="E1064" s="4"/>
      <c r="F1064" s="4"/>
      <c r="G1064" s="4"/>
      <c r="H1064" s="4"/>
      <c r="I1064" s="4"/>
      <c r="J1064" s="4"/>
      <c r="K1064" s="4"/>
      <c r="L1064" s="4"/>
      <c r="M1064" s="4"/>
      <c r="N1064" s="4"/>
      <c r="O1064" s="4"/>
      <c r="P1064" s="4"/>
      <c r="Q1064" s="4"/>
      <c r="R1064" s="4"/>
      <c r="S1064" s="4"/>
      <c r="T1064" s="4"/>
      <c r="U1064" s="4"/>
      <c r="V1064" s="4"/>
      <c r="W1064" s="4"/>
    </row>
    <row r="1065" spans="1:23" ht="15.75" customHeight="1" x14ac:dyDescent="0.25">
      <c r="A1065" s="4"/>
      <c r="B1065" s="4"/>
      <c r="C1065" s="4"/>
      <c r="D1065" s="4"/>
      <c r="E1065" s="4"/>
      <c r="F1065" s="4"/>
      <c r="G1065" s="4"/>
      <c r="H1065" s="4"/>
      <c r="I1065" s="4"/>
      <c r="J1065" s="4"/>
      <c r="K1065" s="4"/>
      <c r="L1065" s="4"/>
      <c r="M1065" s="4"/>
      <c r="N1065" s="4"/>
      <c r="O1065" s="4"/>
      <c r="P1065" s="4"/>
      <c r="Q1065" s="4"/>
      <c r="R1065" s="4"/>
      <c r="S1065" s="4"/>
      <c r="T1065" s="4"/>
      <c r="U1065" s="4"/>
      <c r="V1065" s="4"/>
      <c r="W1065" s="4"/>
    </row>
    <row r="1066" spans="1:23" ht="15.75" customHeight="1" x14ac:dyDescent="0.25">
      <c r="A1066" s="4"/>
      <c r="B1066" s="4"/>
      <c r="C1066" s="4"/>
      <c r="D1066" s="4"/>
      <c r="E1066" s="4"/>
      <c r="F1066" s="4"/>
      <c r="G1066" s="4"/>
      <c r="H1066" s="4"/>
      <c r="I1066" s="4"/>
      <c r="J1066" s="4"/>
      <c r="K1066" s="4"/>
      <c r="L1066" s="4"/>
      <c r="M1066" s="4"/>
      <c r="N1066" s="4"/>
      <c r="O1066" s="4"/>
      <c r="P1066" s="4"/>
      <c r="Q1066" s="4"/>
      <c r="R1066" s="4"/>
      <c r="S1066" s="4"/>
      <c r="T1066" s="4"/>
      <c r="U1066" s="4"/>
      <c r="V1066" s="4"/>
      <c r="W1066" s="4"/>
    </row>
    <row r="1067" spans="1:23" ht="15.75" customHeight="1" x14ac:dyDescent="0.25">
      <c r="A1067" s="4"/>
      <c r="B1067" s="4"/>
      <c r="C1067" s="4"/>
      <c r="D1067" s="4"/>
      <c r="E1067" s="4"/>
      <c r="F1067" s="4"/>
      <c r="G1067" s="4"/>
      <c r="H1067" s="4"/>
      <c r="I1067" s="4"/>
      <c r="J1067" s="4"/>
      <c r="K1067" s="4"/>
      <c r="L1067" s="4"/>
      <c r="M1067" s="4"/>
      <c r="N1067" s="4"/>
      <c r="O1067" s="4"/>
      <c r="P1067" s="4"/>
      <c r="Q1067" s="4"/>
      <c r="R1067" s="4"/>
      <c r="S1067" s="4"/>
      <c r="T1067" s="4"/>
      <c r="U1067" s="4"/>
      <c r="V1067" s="4"/>
      <c r="W1067" s="4"/>
    </row>
    <row r="1068" spans="1:23" ht="15.75" customHeight="1" x14ac:dyDescent="0.25">
      <c r="A1068" s="4"/>
      <c r="B1068" s="4"/>
      <c r="C1068" s="4"/>
      <c r="D1068" s="4"/>
      <c r="E1068" s="4"/>
      <c r="F1068" s="4"/>
      <c r="G1068" s="4"/>
      <c r="H1068" s="4"/>
      <c r="I1068" s="4"/>
      <c r="J1068" s="4"/>
      <c r="K1068" s="4"/>
      <c r="L1068" s="4"/>
      <c r="M1068" s="4"/>
      <c r="N1068" s="4"/>
      <c r="O1068" s="4"/>
      <c r="P1068" s="4"/>
      <c r="Q1068" s="4"/>
      <c r="R1068" s="4"/>
      <c r="S1068" s="4"/>
      <c r="T1068" s="4"/>
      <c r="U1068" s="4"/>
      <c r="V1068" s="4"/>
      <c r="W1068" s="4"/>
    </row>
    <row r="1069" spans="1:23" ht="15.75" customHeight="1" x14ac:dyDescent="0.25">
      <c r="A1069" s="4"/>
      <c r="B1069" s="4"/>
      <c r="C1069" s="4"/>
      <c r="D1069" s="4"/>
      <c r="E1069" s="4"/>
      <c r="F1069" s="4"/>
      <c r="G1069" s="4"/>
      <c r="H1069" s="4"/>
      <c r="I1069" s="4"/>
      <c r="J1069" s="4"/>
      <c r="K1069" s="4"/>
      <c r="L1069" s="4"/>
      <c r="M1069" s="4"/>
      <c r="N1069" s="4"/>
      <c r="O1069" s="4"/>
      <c r="P1069" s="4"/>
      <c r="Q1069" s="4"/>
      <c r="R1069" s="4"/>
      <c r="S1069" s="4"/>
      <c r="T1069" s="4"/>
      <c r="U1069" s="4"/>
      <c r="V1069" s="4"/>
      <c r="W1069" s="4"/>
    </row>
    <row r="1070" spans="1:23" ht="15.75" customHeight="1" x14ac:dyDescent="0.25">
      <c r="A1070" s="4"/>
      <c r="B1070" s="4"/>
      <c r="C1070" s="4"/>
      <c r="D1070" s="4"/>
      <c r="E1070" s="4"/>
      <c r="F1070" s="4"/>
      <c r="G1070" s="4"/>
      <c r="H1070" s="4"/>
      <c r="I1070" s="4"/>
      <c r="J1070" s="4"/>
      <c r="K1070" s="4"/>
      <c r="L1070" s="4"/>
      <c r="M1070" s="4"/>
      <c r="N1070" s="4"/>
      <c r="O1070" s="4"/>
      <c r="P1070" s="4"/>
      <c r="Q1070" s="4"/>
      <c r="R1070" s="4"/>
      <c r="S1070" s="4"/>
      <c r="T1070" s="4"/>
      <c r="U1070" s="4"/>
      <c r="V1070" s="4"/>
      <c r="W1070" s="4"/>
    </row>
    <row r="1071" spans="1:23" ht="15.75" customHeight="1" x14ac:dyDescent="0.25">
      <c r="A1071" s="4"/>
      <c r="B1071" s="4"/>
      <c r="C1071" s="4"/>
      <c r="D1071" s="4"/>
      <c r="E1071" s="4"/>
      <c r="F1071" s="4"/>
      <c r="G1071" s="4"/>
      <c r="H1071" s="4"/>
      <c r="I1071" s="4"/>
      <c r="J1071" s="4"/>
      <c r="K1071" s="4"/>
      <c r="L1071" s="4"/>
      <c r="M1071" s="4"/>
      <c r="N1071" s="4"/>
      <c r="O1071" s="4"/>
      <c r="P1071" s="4"/>
      <c r="Q1071" s="4"/>
      <c r="R1071" s="4"/>
      <c r="S1071" s="4"/>
      <c r="T1071" s="4"/>
      <c r="U1071" s="4"/>
      <c r="V1071" s="4"/>
      <c r="W1071" s="4"/>
    </row>
    <row r="1072" spans="1:23" ht="15.75" customHeight="1" x14ac:dyDescent="0.25">
      <c r="A1072" s="4"/>
      <c r="B1072" s="4"/>
      <c r="C1072" s="4"/>
      <c r="D1072" s="4"/>
      <c r="E1072" s="4"/>
      <c r="F1072" s="4"/>
      <c r="G1072" s="4"/>
      <c r="H1072" s="4"/>
      <c r="I1072" s="4"/>
      <c r="J1072" s="4"/>
      <c r="K1072" s="4"/>
      <c r="L1072" s="4"/>
      <c r="M1072" s="4"/>
      <c r="N1072" s="4"/>
      <c r="O1072" s="4"/>
      <c r="P1072" s="4"/>
      <c r="Q1072" s="4"/>
      <c r="R1072" s="4"/>
      <c r="S1072" s="4"/>
      <c r="T1072" s="4"/>
      <c r="U1072" s="4"/>
      <c r="V1072" s="4"/>
      <c r="W1072" s="4"/>
    </row>
    <row r="1073" spans="1:23" ht="15.75" customHeight="1" x14ac:dyDescent="0.25">
      <c r="A1073" s="4"/>
      <c r="B1073" s="4"/>
      <c r="C1073" s="4"/>
      <c r="D1073" s="4"/>
      <c r="E1073" s="4"/>
      <c r="F1073" s="4"/>
      <c r="G1073" s="4"/>
      <c r="H1073" s="4"/>
      <c r="I1073" s="4"/>
      <c r="J1073" s="4"/>
      <c r="K1073" s="4"/>
      <c r="L1073" s="4"/>
      <c r="M1073" s="4"/>
      <c r="N1073" s="4"/>
      <c r="O1073" s="4"/>
      <c r="P1073" s="4"/>
      <c r="Q1073" s="4"/>
      <c r="R1073" s="4"/>
      <c r="S1073" s="4"/>
      <c r="T1073" s="4"/>
      <c r="U1073" s="4"/>
      <c r="V1073" s="4"/>
      <c r="W1073" s="4"/>
    </row>
    <row r="1074" spans="1:23" ht="15.75" customHeight="1" x14ac:dyDescent="0.25">
      <c r="A1074" s="4"/>
      <c r="B1074" s="4"/>
      <c r="C1074" s="4"/>
      <c r="D1074" s="4"/>
      <c r="E1074" s="4"/>
      <c r="F1074" s="4"/>
      <c r="G1074" s="4"/>
      <c r="H1074" s="4"/>
      <c r="I1074" s="4"/>
      <c r="J1074" s="4"/>
      <c r="K1074" s="4"/>
      <c r="L1074" s="4"/>
      <c r="M1074" s="4"/>
      <c r="N1074" s="4"/>
      <c r="O1074" s="4"/>
      <c r="P1074" s="4"/>
      <c r="Q1074" s="4"/>
      <c r="R1074" s="4"/>
      <c r="S1074" s="4"/>
      <c r="T1074" s="4"/>
      <c r="U1074" s="4"/>
      <c r="V1074" s="4"/>
      <c r="W1074" s="4"/>
    </row>
    <row r="1075" spans="1:23" ht="15.75" customHeight="1" x14ac:dyDescent="0.25">
      <c r="A1075" s="4"/>
      <c r="B1075" s="4"/>
      <c r="C1075" s="4"/>
      <c r="D1075" s="4"/>
      <c r="E1075" s="4"/>
      <c r="F1075" s="4"/>
      <c r="G1075" s="4"/>
      <c r="H1075" s="4"/>
      <c r="I1075" s="4"/>
      <c r="J1075" s="4"/>
      <c r="K1075" s="4"/>
      <c r="L1075" s="4"/>
      <c r="M1075" s="4"/>
      <c r="N1075" s="4"/>
      <c r="O1075" s="4"/>
      <c r="P1075" s="4"/>
      <c r="Q1075" s="4"/>
      <c r="R1075" s="4"/>
      <c r="S1075" s="4"/>
      <c r="T1075" s="4"/>
      <c r="U1075" s="4"/>
      <c r="V1075" s="4"/>
      <c r="W1075" s="4"/>
    </row>
    <row r="1076" spans="1:23" ht="15.75" customHeight="1" x14ac:dyDescent="0.25">
      <c r="A1076" s="4"/>
      <c r="B1076" s="4"/>
      <c r="C1076" s="4"/>
      <c r="D1076" s="4"/>
      <c r="E1076" s="4"/>
      <c r="F1076" s="4"/>
      <c r="G1076" s="4"/>
      <c r="H1076" s="4"/>
      <c r="I1076" s="4"/>
      <c r="J1076" s="4"/>
      <c r="K1076" s="4"/>
      <c r="L1076" s="4"/>
      <c r="M1076" s="4"/>
      <c r="N1076" s="4"/>
      <c r="O1076" s="4"/>
      <c r="P1076" s="4"/>
      <c r="Q1076" s="4"/>
      <c r="R1076" s="4"/>
      <c r="S1076" s="4"/>
      <c r="T1076" s="4"/>
      <c r="U1076" s="4"/>
      <c r="V1076" s="4"/>
      <c r="W1076" s="4"/>
    </row>
    <row r="1077" spans="1:23" ht="15.75" customHeight="1" x14ac:dyDescent="0.25">
      <c r="A1077" s="4"/>
      <c r="B1077" s="4"/>
      <c r="C1077" s="4"/>
      <c r="D1077" s="4"/>
      <c r="E1077" s="4"/>
      <c r="F1077" s="4"/>
      <c r="G1077" s="4"/>
      <c r="H1077" s="4"/>
      <c r="I1077" s="4"/>
      <c r="J1077" s="4"/>
      <c r="K1077" s="4"/>
      <c r="L1077" s="4"/>
      <c r="M1077" s="4"/>
      <c r="N1077" s="4"/>
      <c r="O1077" s="4"/>
      <c r="P1077" s="4"/>
      <c r="Q1077" s="4"/>
      <c r="R1077" s="4"/>
      <c r="S1077" s="4"/>
      <c r="T1077" s="4"/>
      <c r="U1077" s="4"/>
      <c r="V1077" s="4"/>
      <c r="W1077" s="4"/>
    </row>
    <row r="1078" spans="1:23" ht="15.75" customHeight="1" x14ac:dyDescent="0.25">
      <c r="A1078" s="4"/>
      <c r="B1078" s="4"/>
      <c r="C1078" s="4"/>
      <c r="D1078" s="4"/>
      <c r="E1078" s="4"/>
      <c r="F1078" s="4"/>
      <c r="G1078" s="4"/>
      <c r="H1078" s="4"/>
      <c r="I1078" s="4"/>
      <c r="J1078" s="4"/>
      <c r="K1078" s="4"/>
      <c r="L1078" s="4"/>
      <c r="M1078" s="4"/>
      <c r="N1078" s="4"/>
      <c r="O1078" s="4"/>
      <c r="P1078" s="4"/>
      <c r="Q1078" s="4"/>
      <c r="R1078" s="4"/>
      <c r="S1078" s="4"/>
      <c r="T1078" s="4"/>
      <c r="U1078" s="4"/>
      <c r="V1078" s="4"/>
      <c r="W1078" s="4"/>
    </row>
    <row r="1079" spans="1:23" ht="15.75" customHeight="1" x14ac:dyDescent="0.25">
      <c r="A1079" s="4"/>
      <c r="B1079" s="4"/>
      <c r="C1079" s="4"/>
      <c r="D1079" s="4"/>
      <c r="E1079" s="4"/>
      <c r="F1079" s="4"/>
      <c r="G1079" s="4"/>
      <c r="H1079" s="4"/>
      <c r="I1079" s="4"/>
      <c r="J1079" s="4"/>
      <c r="K1079" s="4"/>
      <c r="L1079" s="4"/>
      <c r="M1079" s="4"/>
      <c r="N1079" s="4"/>
      <c r="O1079" s="4"/>
      <c r="P1079" s="4"/>
      <c r="Q1079" s="4"/>
      <c r="R1079" s="4"/>
      <c r="S1079" s="4"/>
      <c r="T1079" s="4"/>
      <c r="U1079" s="4"/>
      <c r="V1079" s="4"/>
      <c r="W1079" s="4"/>
    </row>
    <row r="1080" spans="1:23" ht="15.75" customHeight="1" x14ac:dyDescent="0.25">
      <c r="A1080" s="4"/>
      <c r="B1080" s="4"/>
      <c r="C1080" s="4"/>
      <c r="D1080" s="4"/>
      <c r="E1080" s="4"/>
      <c r="F1080" s="4"/>
      <c r="G1080" s="4"/>
      <c r="H1080" s="4"/>
      <c r="I1080" s="4"/>
      <c r="J1080" s="4"/>
      <c r="K1080" s="4"/>
      <c r="L1080" s="4"/>
      <c r="M1080" s="4"/>
      <c r="N1080" s="4"/>
      <c r="O1080" s="4"/>
      <c r="P1080" s="4"/>
      <c r="Q1080" s="4"/>
      <c r="R1080" s="4"/>
      <c r="S1080" s="4"/>
      <c r="T1080" s="4"/>
      <c r="U1080" s="4"/>
      <c r="V1080" s="4"/>
      <c r="W1080" s="4"/>
    </row>
    <row r="1081" spans="1:23" ht="15.75" customHeight="1" x14ac:dyDescent="0.25">
      <c r="A1081" s="4"/>
      <c r="B1081" s="4"/>
      <c r="C1081" s="4"/>
      <c r="D1081" s="4"/>
      <c r="E1081" s="4"/>
      <c r="F1081" s="4"/>
      <c r="G1081" s="4"/>
      <c r="H1081" s="4"/>
      <c r="I1081" s="4"/>
      <c r="J1081" s="4"/>
      <c r="K1081" s="4"/>
      <c r="L1081" s="4"/>
      <c r="M1081" s="4"/>
      <c r="N1081" s="4"/>
      <c r="O1081" s="4"/>
      <c r="P1081" s="4"/>
      <c r="Q1081" s="4"/>
      <c r="R1081" s="4"/>
      <c r="S1081" s="4"/>
      <c r="T1081" s="4"/>
      <c r="U1081" s="4"/>
      <c r="V1081" s="4"/>
      <c r="W1081" s="4"/>
    </row>
    <row r="1082" spans="1:23" ht="15.75" customHeight="1" x14ac:dyDescent="0.25">
      <c r="A1082" s="4"/>
      <c r="B1082" s="4"/>
      <c r="C1082" s="4"/>
      <c r="D1082" s="4"/>
      <c r="E1082" s="4"/>
      <c r="F1082" s="4"/>
      <c r="G1082" s="4"/>
      <c r="H1082" s="4"/>
      <c r="I1082" s="4"/>
      <c r="J1082" s="4"/>
      <c r="K1082" s="4"/>
      <c r="L1082" s="4"/>
      <c r="M1082" s="4"/>
      <c r="N1082" s="4"/>
      <c r="O1082" s="4"/>
      <c r="P1082" s="4"/>
      <c r="Q1082" s="4"/>
      <c r="R1082" s="4"/>
      <c r="S1082" s="4"/>
      <c r="T1082" s="4"/>
      <c r="U1082" s="4"/>
      <c r="V1082" s="4"/>
      <c r="W1082" s="4"/>
    </row>
    <row r="1083" spans="1:23" ht="15.75" customHeight="1" x14ac:dyDescent="0.25">
      <c r="A1083" s="4"/>
      <c r="B1083" s="4"/>
      <c r="C1083" s="4"/>
      <c r="D1083" s="4"/>
      <c r="E1083" s="4"/>
      <c r="F1083" s="4"/>
      <c r="G1083" s="4"/>
      <c r="H1083" s="4"/>
      <c r="I1083" s="4"/>
      <c r="J1083" s="4"/>
      <c r="K1083" s="4"/>
      <c r="L1083" s="4"/>
      <c r="M1083" s="4"/>
      <c r="N1083" s="4"/>
      <c r="O1083" s="4"/>
      <c r="P1083" s="4"/>
      <c r="Q1083" s="4"/>
      <c r="R1083" s="4"/>
      <c r="S1083" s="4"/>
      <c r="T1083" s="4"/>
      <c r="U1083" s="4"/>
      <c r="V1083" s="4"/>
      <c r="W1083" s="4"/>
    </row>
    <row r="1084" spans="1:23" ht="15.75" customHeight="1" x14ac:dyDescent="0.25">
      <c r="A1084" s="4"/>
      <c r="B1084" s="4"/>
      <c r="C1084" s="4"/>
      <c r="D1084" s="4"/>
      <c r="E1084" s="4"/>
      <c r="F1084" s="4"/>
      <c r="G1084" s="4"/>
      <c r="H1084" s="4"/>
      <c r="I1084" s="4"/>
      <c r="J1084" s="4"/>
      <c r="K1084" s="4"/>
      <c r="L1084" s="4"/>
      <c r="M1084" s="4"/>
      <c r="N1084" s="4"/>
      <c r="O1084" s="4"/>
      <c r="P1084" s="4"/>
      <c r="Q1084" s="4"/>
      <c r="R1084" s="4"/>
      <c r="S1084" s="4"/>
      <c r="T1084" s="4"/>
      <c r="U1084" s="4"/>
      <c r="V1084" s="4"/>
      <c r="W1084" s="4"/>
    </row>
    <row r="1085" spans="1:23" ht="15.75" customHeight="1" x14ac:dyDescent="0.25">
      <c r="A1085" s="4"/>
      <c r="B1085" s="4"/>
      <c r="C1085" s="4"/>
      <c r="D1085" s="4"/>
      <c r="E1085" s="4"/>
      <c r="F1085" s="4"/>
      <c r="G1085" s="4"/>
      <c r="H1085" s="4"/>
      <c r="I1085" s="4"/>
      <c r="J1085" s="4"/>
      <c r="K1085" s="4"/>
      <c r="L1085" s="4"/>
      <c r="M1085" s="4"/>
      <c r="N1085" s="4"/>
      <c r="O1085" s="4"/>
      <c r="P1085" s="4"/>
      <c r="Q1085" s="4"/>
      <c r="R1085" s="4"/>
      <c r="S1085" s="4"/>
      <c r="T1085" s="4"/>
      <c r="U1085" s="4"/>
      <c r="V1085" s="4"/>
      <c r="W1085" s="4"/>
    </row>
    <row r="1086" spans="1:23" ht="15.75" customHeight="1" x14ac:dyDescent="0.25">
      <c r="A1086" s="4"/>
      <c r="B1086" s="4"/>
      <c r="C1086" s="4"/>
      <c r="D1086" s="4"/>
      <c r="E1086" s="4"/>
      <c r="F1086" s="4"/>
      <c r="G1086" s="4"/>
      <c r="H1086" s="4"/>
      <c r="I1086" s="4"/>
      <c r="J1086" s="4"/>
      <c r="K1086" s="4"/>
      <c r="L1086" s="4"/>
      <c r="M1086" s="4"/>
      <c r="N1086" s="4"/>
      <c r="O1086" s="4"/>
      <c r="P1086" s="4"/>
      <c r="Q1086" s="4"/>
      <c r="R1086" s="4"/>
      <c r="S1086" s="4"/>
      <c r="T1086" s="4"/>
      <c r="U1086" s="4"/>
      <c r="V1086" s="4"/>
      <c r="W1086" s="4"/>
    </row>
    <row r="1087" spans="1:23" ht="15.75" customHeight="1" x14ac:dyDescent="0.25">
      <c r="A1087" s="4"/>
      <c r="B1087" s="4"/>
      <c r="C1087" s="4"/>
      <c r="D1087" s="4"/>
      <c r="E1087" s="4"/>
      <c r="F1087" s="4"/>
      <c r="G1087" s="4"/>
      <c r="H1087" s="4"/>
      <c r="I1087" s="4"/>
      <c r="J1087" s="4"/>
      <c r="K1087" s="4"/>
      <c r="L1087" s="4"/>
      <c r="M1087" s="4"/>
      <c r="N1087" s="4"/>
      <c r="O1087" s="4"/>
      <c r="P1087" s="4"/>
      <c r="Q1087" s="4"/>
      <c r="R1087" s="4"/>
      <c r="S1087" s="4"/>
      <c r="T1087" s="4"/>
      <c r="U1087" s="4"/>
      <c r="V1087" s="4"/>
      <c r="W1087" s="4"/>
    </row>
    <row r="1088" spans="1:23" ht="15.75" customHeight="1" x14ac:dyDescent="0.25">
      <c r="A1088" s="4"/>
      <c r="B1088" s="4"/>
      <c r="C1088" s="4"/>
      <c r="D1088" s="4"/>
      <c r="E1088" s="4"/>
      <c r="F1088" s="4"/>
      <c r="G1088" s="4"/>
      <c r="H1088" s="4"/>
      <c r="I1088" s="4"/>
      <c r="J1088" s="4"/>
      <c r="K1088" s="4"/>
      <c r="L1088" s="4"/>
      <c r="M1088" s="4"/>
      <c r="N1088" s="4"/>
      <c r="O1088" s="4"/>
      <c r="P1088" s="4"/>
      <c r="Q1088" s="4"/>
      <c r="R1088" s="4"/>
      <c r="S1088" s="4"/>
      <c r="T1088" s="4"/>
      <c r="U1088" s="4"/>
      <c r="V1088" s="4"/>
      <c r="W1088" s="4"/>
    </row>
    <row r="1089" spans="1:23" ht="15.75" customHeight="1" x14ac:dyDescent="0.25">
      <c r="A1089" s="4"/>
      <c r="B1089" s="4"/>
      <c r="C1089" s="4"/>
      <c r="D1089" s="4"/>
      <c r="E1089" s="4"/>
      <c r="F1089" s="4"/>
      <c r="G1089" s="4"/>
      <c r="H1089" s="4"/>
      <c r="I1089" s="4"/>
      <c r="J1089" s="4"/>
      <c r="K1089" s="4"/>
      <c r="L1089" s="4"/>
      <c r="M1089" s="4"/>
      <c r="N1089" s="4"/>
      <c r="O1089" s="4"/>
      <c r="P1089" s="4"/>
      <c r="Q1089" s="4"/>
      <c r="R1089" s="4"/>
      <c r="S1089" s="4"/>
      <c r="T1089" s="4"/>
      <c r="U1089" s="4"/>
      <c r="V1089" s="4"/>
      <c r="W1089" s="4"/>
    </row>
    <row r="1090" spans="1:23" ht="15.75" customHeight="1" x14ac:dyDescent="0.25">
      <c r="A1090" s="4"/>
      <c r="B1090" s="4"/>
      <c r="C1090" s="4"/>
      <c r="D1090" s="4"/>
      <c r="E1090" s="4"/>
      <c r="F1090" s="4"/>
      <c r="G1090" s="4"/>
      <c r="H1090" s="4"/>
      <c r="I1090" s="4"/>
      <c r="J1090" s="4"/>
      <c r="K1090" s="4"/>
      <c r="L1090" s="4"/>
      <c r="M1090" s="4"/>
      <c r="N1090" s="4"/>
      <c r="O1090" s="4"/>
      <c r="P1090" s="4"/>
      <c r="Q1090" s="4"/>
      <c r="R1090" s="4"/>
      <c r="S1090" s="4"/>
      <c r="T1090" s="4"/>
      <c r="U1090" s="4"/>
      <c r="V1090" s="4"/>
      <c r="W1090" s="4"/>
    </row>
    <row r="1091" spans="1:23" ht="15.75" customHeight="1" x14ac:dyDescent="0.25">
      <c r="A1091" s="4"/>
      <c r="B1091" s="4"/>
      <c r="C1091" s="4"/>
      <c r="D1091" s="4"/>
      <c r="E1091" s="4"/>
      <c r="F1091" s="4"/>
      <c r="G1091" s="4"/>
      <c r="H1091" s="4"/>
      <c r="I1091" s="4"/>
      <c r="J1091" s="4"/>
      <c r="K1091" s="4"/>
      <c r="L1091" s="4"/>
      <c r="M1091" s="4"/>
      <c r="N1091" s="4"/>
      <c r="O1091" s="4"/>
      <c r="P1091" s="4"/>
      <c r="Q1091" s="4"/>
      <c r="R1091" s="4"/>
      <c r="S1091" s="4"/>
      <c r="T1091" s="4"/>
      <c r="U1091" s="4"/>
      <c r="V1091" s="4"/>
      <c r="W1091" s="4"/>
    </row>
    <row r="1092" spans="1:23" ht="15.75" customHeight="1" x14ac:dyDescent="0.25">
      <c r="A1092" s="4"/>
      <c r="B1092" s="4"/>
      <c r="C1092" s="4"/>
      <c r="D1092" s="4"/>
      <c r="E1092" s="4"/>
      <c r="F1092" s="4"/>
      <c r="G1092" s="4"/>
      <c r="H1092" s="4"/>
      <c r="I1092" s="4"/>
      <c r="J1092" s="4"/>
      <c r="K1092" s="4"/>
      <c r="L1092" s="4"/>
      <c r="M1092" s="4"/>
      <c r="N1092" s="4"/>
      <c r="O1092" s="4"/>
      <c r="P1092" s="4"/>
      <c r="Q1092" s="4"/>
      <c r="R1092" s="4"/>
      <c r="S1092" s="4"/>
      <c r="T1092" s="4"/>
      <c r="U1092" s="4"/>
      <c r="V1092" s="4"/>
      <c r="W1092" s="4"/>
    </row>
    <row r="1093" spans="1:23" ht="15.75" customHeight="1" x14ac:dyDescent="0.25">
      <c r="A1093" s="4"/>
      <c r="B1093" s="4"/>
      <c r="C1093" s="4"/>
      <c r="D1093" s="4"/>
      <c r="E1093" s="4"/>
      <c r="F1093" s="4"/>
      <c r="G1093" s="4"/>
      <c r="H1093" s="4"/>
      <c r="I1093" s="4"/>
      <c r="J1093" s="4"/>
      <c r="K1093" s="4"/>
      <c r="L1093" s="4"/>
      <c r="M1093" s="4"/>
      <c r="N1093" s="4"/>
      <c r="O1093" s="4"/>
      <c r="P1093" s="4"/>
      <c r="Q1093" s="4"/>
      <c r="R1093" s="4"/>
      <c r="S1093" s="4"/>
      <c r="T1093" s="4"/>
      <c r="U1093" s="4"/>
      <c r="V1093" s="4"/>
      <c r="W1093" s="4"/>
    </row>
    <row r="1094" spans="1:23" ht="15.75" customHeight="1" x14ac:dyDescent="0.25">
      <c r="A1094" s="4"/>
      <c r="B1094" s="4"/>
      <c r="C1094" s="4"/>
      <c r="D1094" s="4"/>
      <c r="E1094" s="4"/>
      <c r="F1094" s="4"/>
      <c r="G1094" s="4"/>
      <c r="H1094" s="4"/>
      <c r="I1094" s="4"/>
      <c r="J1094" s="4"/>
      <c r="K1094" s="4"/>
      <c r="L1094" s="4"/>
      <c r="M1094" s="4"/>
      <c r="N1094" s="4"/>
      <c r="O1094" s="4"/>
      <c r="P1094" s="4"/>
      <c r="Q1094" s="4"/>
      <c r="R1094" s="4"/>
      <c r="S1094" s="4"/>
      <c r="T1094" s="4"/>
      <c r="U1094" s="4"/>
      <c r="V1094" s="4"/>
      <c r="W1094" s="4"/>
    </row>
    <row r="1095" spans="1:23" ht="15.75" customHeight="1" x14ac:dyDescent="0.25">
      <c r="A1095" s="4"/>
      <c r="B1095" s="4"/>
      <c r="C1095" s="4"/>
      <c r="D1095" s="4"/>
      <c r="E1095" s="4"/>
      <c r="F1095" s="4"/>
      <c r="G1095" s="4"/>
      <c r="H1095" s="4"/>
      <c r="I1095" s="4"/>
      <c r="J1095" s="4"/>
      <c r="K1095" s="4"/>
      <c r="L1095" s="4"/>
      <c r="M1095" s="4"/>
      <c r="N1095" s="4"/>
      <c r="O1095" s="4"/>
      <c r="P1095" s="4"/>
      <c r="Q1095" s="4"/>
      <c r="R1095" s="4"/>
      <c r="S1095" s="4"/>
      <c r="T1095" s="4"/>
      <c r="U1095" s="4"/>
      <c r="V1095" s="4"/>
      <c r="W1095" s="4"/>
    </row>
    <row r="1096" spans="1:23" ht="15.75" customHeight="1" x14ac:dyDescent="0.25">
      <c r="A1096" s="4"/>
      <c r="B1096" s="4"/>
      <c r="C1096" s="4"/>
      <c r="D1096" s="4"/>
      <c r="E1096" s="4"/>
      <c r="F1096" s="4"/>
      <c r="G1096" s="4"/>
      <c r="H1096" s="4"/>
      <c r="I1096" s="4"/>
      <c r="J1096" s="4"/>
      <c r="K1096" s="4"/>
      <c r="L1096" s="4"/>
      <c r="M1096" s="4"/>
      <c r="N1096" s="4"/>
      <c r="O1096" s="4"/>
      <c r="P1096" s="4"/>
      <c r="Q1096" s="4"/>
      <c r="R1096" s="4"/>
      <c r="S1096" s="4"/>
      <c r="T1096" s="4"/>
      <c r="U1096" s="4"/>
      <c r="V1096" s="4"/>
      <c r="W1096" s="4"/>
    </row>
    <row r="1097" spans="1:23" ht="15.75" customHeight="1" x14ac:dyDescent="0.25">
      <c r="A1097" s="4"/>
      <c r="B1097" s="4"/>
      <c r="C1097" s="4"/>
      <c r="D1097" s="4"/>
      <c r="E1097" s="4"/>
      <c r="F1097" s="4"/>
      <c r="G1097" s="4"/>
      <c r="H1097" s="4"/>
      <c r="I1097" s="4"/>
      <c r="J1097" s="4"/>
      <c r="K1097" s="4"/>
      <c r="L1097" s="4"/>
      <c r="M1097" s="4"/>
      <c r="N1097" s="4"/>
      <c r="O1097" s="4"/>
      <c r="P1097" s="4"/>
      <c r="Q1097" s="4"/>
      <c r="R1097" s="4"/>
      <c r="S1097" s="4"/>
      <c r="T1097" s="4"/>
      <c r="U1097" s="4"/>
      <c r="V1097" s="4"/>
      <c r="W1097" s="4"/>
    </row>
    <row r="1098" spans="1:23" ht="15.75" customHeight="1" x14ac:dyDescent="0.25">
      <c r="A1098" s="4"/>
      <c r="B1098" s="4"/>
      <c r="C1098" s="4"/>
      <c r="D1098" s="4"/>
      <c r="E1098" s="4"/>
      <c r="F1098" s="4"/>
      <c r="G1098" s="4"/>
      <c r="H1098" s="4"/>
      <c r="I1098" s="4"/>
      <c r="J1098" s="4"/>
      <c r="K1098" s="4"/>
      <c r="L1098" s="4"/>
      <c r="M1098" s="4"/>
      <c r="N1098" s="4"/>
      <c r="O1098" s="4"/>
      <c r="P1098" s="4"/>
      <c r="Q1098" s="4"/>
      <c r="R1098" s="4"/>
      <c r="S1098" s="4"/>
      <c r="T1098" s="4"/>
      <c r="U1098" s="4"/>
      <c r="V1098" s="4"/>
      <c r="W1098" s="4"/>
    </row>
    <row r="1099" spans="1:23" ht="15.75" customHeight="1" x14ac:dyDescent="0.25">
      <c r="A1099" s="4"/>
      <c r="B1099" s="4"/>
      <c r="C1099" s="4"/>
      <c r="D1099" s="4"/>
      <c r="E1099" s="4"/>
      <c r="F1099" s="4"/>
      <c r="G1099" s="4"/>
      <c r="H1099" s="4"/>
      <c r="I1099" s="4"/>
      <c r="J1099" s="4"/>
      <c r="K1099" s="4"/>
      <c r="L1099" s="4"/>
      <c r="M1099" s="4"/>
      <c r="N1099" s="4"/>
      <c r="O1099" s="4"/>
      <c r="P1099" s="4"/>
      <c r="Q1099" s="4"/>
      <c r="R1099" s="4"/>
      <c r="S1099" s="4"/>
      <c r="T1099" s="4"/>
      <c r="U1099" s="4"/>
      <c r="V1099" s="4"/>
      <c r="W1099" s="4"/>
    </row>
    <row r="1100" spans="1:23" ht="15.75" customHeight="1" x14ac:dyDescent="0.25">
      <c r="A1100" s="4"/>
      <c r="B1100" s="4"/>
      <c r="C1100" s="4"/>
      <c r="D1100" s="4"/>
      <c r="E1100" s="4"/>
      <c r="F1100" s="4"/>
      <c r="G1100" s="4"/>
      <c r="H1100" s="4"/>
      <c r="I1100" s="4"/>
      <c r="J1100" s="4"/>
      <c r="K1100" s="4"/>
      <c r="L1100" s="4"/>
      <c r="M1100" s="4"/>
      <c r="N1100" s="4"/>
      <c r="O1100" s="4"/>
      <c r="P1100" s="4"/>
      <c r="Q1100" s="4"/>
      <c r="R1100" s="4"/>
      <c r="S1100" s="4"/>
      <c r="T1100" s="4"/>
      <c r="U1100" s="4"/>
      <c r="V1100" s="4"/>
      <c r="W1100" s="4"/>
    </row>
    <row r="1101" spans="1:23" ht="15.75" customHeight="1" x14ac:dyDescent="0.25">
      <c r="A1101" s="4"/>
      <c r="B1101" s="4"/>
      <c r="C1101" s="4"/>
      <c r="D1101" s="4"/>
      <c r="E1101" s="4"/>
      <c r="F1101" s="4"/>
      <c r="G1101" s="4"/>
      <c r="H1101" s="4"/>
      <c r="I1101" s="4"/>
      <c r="J1101" s="4"/>
      <c r="K1101" s="4"/>
      <c r="L1101" s="4"/>
      <c r="M1101" s="4"/>
      <c r="N1101" s="4"/>
      <c r="O1101" s="4"/>
      <c r="P1101" s="4"/>
      <c r="Q1101" s="4"/>
      <c r="R1101" s="4"/>
      <c r="S1101" s="4"/>
      <c r="T1101" s="4"/>
      <c r="U1101" s="4"/>
      <c r="V1101" s="4"/>
      <c r="W1101" s="4"/>
    </row>
    <row r="1102" spans="1:23" ht="15.75" customHeight="1" x14ac:dyDescent="0.25">
      <c r="A1102" s="4"/>
      <c r="B1102" s="4"/>
      <c r="C1102" s="4"/>
      <c r="D1102" s="4"/>
      <c r="E1102" s="4"/>
      <c r="F1102" s="4"/>
      <c r="G1102" s="4"/>
      <c r="H1102" s="4"/>
      <c r="I1102" s="4"/>
      <c r="J1102" s="4"/>
      <c r="K1102" s="4"/>
      <c r="L1102" s="4"/>
      <c r="M1102" s="4"/>
      <c r="N1102" s="4"/>
      <c r="O1102" s="4"/>
      <c r="P1102" s="4"/>
      <c r="Q1102" s="4"/>
      <c r="R1102" s="4"/>
      <c r="S1102" s="4"/>
      <c r="T1102" s="4"/>
      <c r="U1102" s="4"/>
      <c r="V1102" s="4"/>
      <c r="W1102" s="4"/>
    </row>
    <row r="1103" spans="1:23" ht="15.75" customHeight="1" x14ac:dyDescent="0.25">
      <c r="A1103" s="4"/>
      <c r="B1103" s="4"/>
      <c r="C1103" s="4"/>
      <c r="D1103" s="4"/>
      <c r="E1103" s="4"/>
      <c r="F1103" s="4"/>
      <c r="G1103" s="4"/>
      <c r="H1103" s="4"/>
      <c r="I1103" s="4"/>
      <c r="J1103" s="4"/>
      <c r="K1103" s="4"/>
      <c r="L1103" s="4"/>
      <c r="M1103" s="4"/>
      <c r="N1103" s="4"/>
      <c r="O1103" s="4"/>
      <c r="P1103" s="4"/>
      <c r="Q1103" s="4"/>
      <c r="R1103" s="4"/>
      <c r="S1103" s="4"/>
      <c r="T1103" s="4"/>
      <c r="U1103" s="4"/>
      <c r="V1103" s="4"/>
      <c r="W1103" s="4"/>
    </row>
    <row r="1104" spans="1:23" ht="15.75" customHeight="1" x14ac:dyDescent="0.25">
      <c r="A1104" s="4"/>
      <c r="B1104" s="4"/>
      <c r="C1104" s="4"/>
      <c r="D1104" s="4"/>
      <c r="E1104" s="4"/>
      <c r="F1104" s="4"/>
      <c r="G1104" s="4"/>
      <c r="H1104" s="4"/>
      <c r="I1104" s="4"/>
      <c r="J1104" s="4"/>
      <c r="K1104" s="4"/>
      <c r="L1104" s="4"/>
      <c r="M1104" s="4"/>
      <c r="N1104" s="4"/>
      <c r="O1104" s="4"/>
      <c r="P1104" s="4"/>
      <c r="Q1104" s="4"/>
      <c r="R1104" s="4"/>
      <c r="S1104" s="4"/>
      <c r="T1104" s="4"/>
      <c r="U1104" s="4"/>
      <c r="V1104" s="4"/>
      <c r="W1104" s="4"/>
    </row>
    <row r="1105" spans="1:23" ht="15.75" customHeight="1" x14ac:dyDescent="0.25">
      <c r="A1105" s="4"/>
      <c r="B1105" s="4"/>
      <c r="C1105" s="4"/>
      <c r="D1105" s="4"/>
      <c r="E1105" s="4"/>
      <c r="F1105" s="4"/>
      <c r="G1105" s="4"/>
      <c r="H1105" s="4"/>
      <c r="I1105" s="4"/>
      <c r="J1105" s="4"/>
      <c r="K1105" s="4"/>
      <c r="L1105" s="4"/>
      <c r="M1105" s="4"/>
      <c r="N1105" s="4"/>
      <c r="O1105" s="4"/>
      <c r="P1105" s="4"/>
      <c r="Q1105" s="4"/>
      <c r="R1105" s="4"/>
      <c r="S1105" s="4"/>
      <c r="T1105" s="4"/>
      <c r="U1105" s="4"/>
      <c r="V1105" s="4"/>
      <c r="W1105" s="4"/>
    </row>
    <row r="1106" spans="1:23" ht="15.75" customHeight="1" x14ac:dyDescent="0.25">
      <c r="A1106" s="4"/>
      <c r="B1106" s="4"/>
      <c r="C1106" s="4"/>
      <c r="D1106" s="4"/>
      <c r="E1106" s="4"/>
      <c r="F1106" s="4"/>
      <c r="G1106" s="4"/>
      <c r="H1106" s="4"/>
      <c r="I1106" s="4"/>
      <c r="J1106" s="4"/>
      <c r="K1106" s="4"/>
      <c r="L1106" s="4"/>
      <c r="M1106" s="4"/>
      <c r="N1106" s="4"/>
      <c r="O1106" s="4"/>
      <c r="P1106" s="4"/>
      <c r="Q1106" s="4"/>
      <c r="R1106" s="4"/>
      <c r="S1106" s="4"/>
      <c r="T1106" s="4"/>
      <c r="U1106" s="4"/>
      <c r="V1106" s="4"/>
      <c r="W1106" s="4"/>
    </row>
    <row r="1107" spans="1:23" ht="15.75" customHeight="1" x14ac:dyDescent="0.25">
      <c r="A1107" s="4"/>
      <c r="B1107" s="4"/>
      <c r="C1107" s="4"/>
      <c r="D1107" s="4"/>
      <c r="E1107" s="4"/>
      <c r="F1107" s="4"/>
      <c r="G1107" s="4"/>
      <c r="H1107" s="4"/>
      <c r="I1107" s="4"/>
      <c r="J1107" s="4"/>
      <c r="K1107" s="4"/>
      <c r="L1107" s="4"/>
      <c r="M1107" s="4"/>
      <c r="N1107" s="4"/>
      <c r="O1107" s="4"/>
      <c r="P1107" s="4"/>
      <c r="Q1107" s="4"/>
      <c r="R1107" s="4"/>
      <c r="S1107" s="4"/>
      <c r="T1107" s="4"/>
      <c r="U1107" s="4"/>
      <c r="V1107" s="4"/>
      <c r="W1107" s="4"/>
    </row>
    <row r="1108" spans="1:23" ht="15.75" customHeight="1" x14ac:dyDescent="0.25">
      <c r="A1108" s="4"/>
      <c r="B1108" s="4"/>
      <c r="C1108" s="4"/>
      <c r="D1108" s="4"/>
      <c r="E1108" s="4"/>
      <c r="F1108" s="4"/>
      <c r="G1108" s="4"/>
      <c r="H1108" s="4"/>
      <c r="I1108" s="4"/>
      <c r="J1108" s="4"/>
      <c r="K1108" s="4"/>
      <c r="L1108" s="4"/>
      <c r="M1108" s="4"/>
      <c r="N1108" s="4"/>
      <c r="O1108" s="4"/>
      <c r="P1108" s="4"/>
      <c r="Q1108" s="4"/>
      <c r="R1108" s="4"/>
      <c r="S1108" s="4"/>
      <c r="T1108" s="4"/>
      <c r="U1108" s="4"/>
      <c r="V1108" s="4"/>
      <c r="W1108" s="4"/>
    </row>
    <row r="1109" spans="1:23" ht="15.75" customHeight="1" x14ac:dyDescent="0.25">
      <c r="A1109" s="4"/>
      <c r="B1109" s="4"/>
      <c r="C1109" s="4"/>
      <c r="D1109" s="4"/>
      <c r="E1109" s="4"/>
      <c r="F1109" s="4"/>
      <c r="G1109" s="4"/>
      <c r="H1109" s="4"/>
      <c r="I1109" s="4"/>
      <c r="J1109" s="4"/>
      <c r="K1109" s="4"/>
      <c r="L1109" s="4"/>
      <c r="M1109" s="4"/>
      <c r="N1109" s="4"/>
      <c r="O1109" s="4"/>
      <c r="P1109" s="4"/>
      <c r="Q1109" s="4"/>
      <c r="R1109" s="4"/>
      <c r="S1109" s="4"/>
      <c r="T1109" s="4"/>
      <c r="U1109" s="4"/>
      <c r="V1109" s="4"/>
      <c r="W1109" s="4"/>
    </row>
    <row r="1110" spans="1:23" ht="15.75" customHeight="1" x14ac:dyDescent="0.25">
      <c r="A1110" s="4"/>
      <c r="B1110" s="4"/>
      <c r="C1110" s="4"/>
      <c r="D1110" s="4"/>
      <c r="E1110" s="4"/>
      <c r="F1110" s="4"/>
      <c r="G1110" s="4"/>
      <c r="H1110" s="4"/>
      <c r="I1110" s="4"/>
      <c r="J1110" s="4"/>
      <c r="K1110" s="4"/>
      <c r="L1110" s="4"/>
      <c r="M1110" s="4"/>
      <c r="N1110" s="4"/>
      <c r="O1110" s="4"/>
      <c r="P1110" s="4"/>
      <c r="Q1110" s="4"/>
      <c r="R1110" s="4"/>
      <c r="S1110" s="4"/>
      <c r="T1110" s="4"/>
      <c r="U1110" s="4"/>
      <c r="V1110" s="4"/>
      <c r="W1110" s="4"/>
    </row>
    <row r="1111" spans="1:23" ht="15.75" customHeight="1" x14ac:dyDescent="0.25">
      <c r="A1111" s="4"/>
      <c r="B1111" s="4"/>
      <c r="C1111" s="4"/>
      <c r="D1111" s="4"/>
      <c r="E1111" s="4"/>
      <c r="F1111" s="4"/>
      <c r="G1111" s="4"/>
      <c r="H1111" s="4"/>
      <c r="I1111" s="4"/>
      <c r="J1111" s="4"/>
      <c r="K1111" s="4"/>
      <c r="L1111" s="4"/>
      <c r="M1111" s="4"/>
      <c r="N1111" s="4"/>
      <c r="O1111" s="4"/>
      <c r="P1111" s="4"/>
      <c r="Q1111" s="4"/>
      <c r="R1111" s="4"/>
      <c r="S1111" s="4"/>
      <c r="T1111" s="4"/>
      <c r="U1111" s="4"/>
      <c r="V1111" s="4"/>
      <c r="W1111" s="4"/>
    </row>
    <row r="1112" spans="1:23" ht="15.75" customHeight="1" x14ac:dyDescent="0.25">
      <c r="A1112" s="4"/>
      <c r="B1112" s="4"/>
      <c r="C1112" s="4"/>
      <c r="D1112" s="4"/>
      <c r="E1112" s="4"/>
      <c r="F1112" s="4"/>
      <c r="G1112" s="4"/>
      <c r="H1112" s="4"/>
      <c r="I1112" s="4"/>
      <c r="J1112" s="4"/>
      <c r="K1112" s="4"/>
      <c r="L1112" s="4"/>
      <c r="M1112" s="4"/>
      <c r="N1112" s="4"/>
      <c r="O1112" s="4"/>
      <c r="P1112" s="4"/>
      <c r="Q1112" s="4"/>
      <c r="R1112" s="4"/>
      <c r="S1112" s="4"/>
      <c r="T1112" s="4"/>
      <c r="U1112" s="4"/>
      <c r="V1112" s="4"/>
      <c r="W1112" s="4"/>
    </row>
    <row r="1113" spans="1:23" ht="15.75" customHeight="1" x14ac:dyDescent="0.25">
      <c r="A1113" s="4"/>
      <c r="B1113" s="4"/>
      <c r="C1113" s="4"/>
      <c r="D1113" s="4"/>
      <c r="E1113" s="4"/>
      <c r="F1113" s="4"/>
      <c r="G1113" s="4"/>
      <c r="H1113" s="4"/>
      <c r="I1113" s="4"/>
      <c r="J1113" s="4"/>
      <c r="K1113" s="4"/>
      <c r="L1113" s="4"/>
      <c r="M1113" s="4"/>
      <c r="N1113" s="4"/>
      <c r="O1113" s="4"/>
      <c r="P1113" s="4"/>
      <c r="Q1113" s="4"/>
      <c r="R1113" s="4"/>
      <c r="S1113" s="4"/>
      <c r="T1113" s="4"/>
      <c r="U1113" s="4"/>
      <c r="V1113" s="4"/>
      <c r="W1113" s="4"/>
    </row>
    <row r="1114" spans="1:23" ht="15.75" customHeight="1" x14ac:dyDescent="0.25">
      <c r="A1114" s="4"/>
      <c r="B1114" s="4"/>
      <c r="C1114" s="4"/>
      <c r="D1114" s="4"/>
      <c r="E1114" s="4"/>
      <c r="F1114" s="4"/>
      <c r="G1114" s="4"/>
      <c r="H1114" s="4"/>
      <c r="I1114" s="4"/>
      <c r="J1114" s="4"/>
      <c r="K1114" s="4"/>
      <c r="L1114" s="4"/>
      <c r="M1114" s="4"/>
      <c r="N1114" s="4"/>
      <c r="O1114" s="4"/>
      <c r="P1114" s="4"/>
      <c r="Q1114" s="4"/>
      <c r="R1114" s="4"/>
      <c r="S1114" s="4"/>
      <c r="T1114" s="4"/>
      <c r="U1114" s="4"/>
      <c r="V1114" s="4"/>
      <c r="W1114" s="4"/>
    </row>
    <row r="1115" spans="1:23" ht="15.75" customHeight="1" x14ac:dyDescent="0.25">
      <c r="A1115" s="4"/>
      <c r="B1115" s="4"/>
      <c r="C1115" s="4"/>
      <c r="D1115" s="4"/>
      <c r="E1115" s="4"/>
      <c r="F1115" s="4"/>
      <c r="G1115" s="4"/>
      <c r="H1115" s="4"/>
      <c r="I1115" s="4"/>
      <c r="J1115" s="4"/>
      <c r="K1115" s="4"/>
      <c r="L1115" s="4"/>
      <c r="M1115" s="4"/>
      <c r="N1115" s="4"/>
      <c r="O1115" s="4"/>
      <c r="P1115" s="4"/>
      <c r="Q1115" s="4"/>
      <c r="R1115" s="4"/>
      <c r="S1115" s="4"/>
      <c r="T1115" s="4"/>
      <c r="U1115" s="4"/>
      <c r="V1115" s="4"/>
      <c r="W1115" s="4"/>
    </row>
    <row r="1116" spans="1:23" ht="15.75" customHeight="1" x14ac:dyDescent="0.25">
      <c r="A1116" s="4"/>
      <c r="B1116" s="4"/>
      <c r="C1116" s="4"/>
      <c r="D1116" s="4"/>
      <c r="E1116" s="4"/>
      <c r="F1116" s="4"/>
      <c r="G1116" s="4"/>
      <c r="H1116" s="4"/>
      <c r="I1116" s="4"/>
      <c r="J1116" s="4"/>
      <c r="K1116" s="4"/>
      <c r="L1116" s="4"/>
      <c r="M1116" s="4"/>
      <c r="N1116" s="4"/>
      <c r="O1116" s="4"/>
      <c r="P1116" s="4"/>
      <c r="Q1116" s="4"/>
      <c r="R1116" s="4"/>
      <c r="S1116" s="4"/>
      <c r="T1116" s="4"/>
      <c r="U1116" s="4"/>
      <c r="V1116" s="4"/>
      <c r="W1116" s="4"/>
    </row>
    <row r="1117" spans="1:23" ht="15.75" customHeight="1" x14ac:dyDescent="0.25">
      <c r="A1117" s="4"/>
      <c r="B1117" s="4"/>
      <c r="C1117" s="4"/>
      <c r="D1117" s="4"/>
      <c r="E1117" s="4"/>
      <c r="F1117" s="4"/>
      <c r="G1117" s="4"/>
      <c r="H1117" s="4"/>
      <c r="I1117" s="4"/>
      <c r="J1117" s="4"/>
      <c r="K1117" s="4"/>
      <c r="L1117" s="4"/>
      <c r="M1117" s="4"/>
      <c r="N1117" s="4"/>
      <c r="O1117" s="4"/>
      <c r="P1117" s="4"/>
      <c r="Q1117" s="4"/>
      <c r="R1117" s="4"/>
      <c r="S1117" s="4"/>
      <c r="T1117" s="4"/>
      <c r="U1117" s="4"/>
      <c r="V1117" s="4"/>
      <c r="W1117" s="4"/>
    </row>
    <row r="1118" spans="1:23" ht="15.75" customHeight="1" x14ac:dyDescent="0.25">
      <c r="A1118" s="4"/>
      <c r="B1118" s="4"/>
      <c r="C1118" s="4"/>
      <c r="D1118" s="4"/>
      <c r="E1118" s="4"/>
      <c r="F1118" s="4"/>
      <c r="G1118" s="4"/>
      <c r="H1118" s="4"/>
      <c r="I1118" s="4"/>
      <c r="J1118" s="4"/>
      <c r="K1118" s="4"/>
      <c r="L1118" s="4"/>
      <c r="M1118" s="4"/>
      <c r="N1118" s="4"/>
      <c r="O1118" s="4"/>
      <c r="P1118" s="4"/>
      <c r="Q1118" s="4"/>
      <c r="R1118" s="4"/>
      <c r="S1118" s="4"/>
      <c r="T1118" s="4"/>
      <c r="U1118" s="4"/>
      <c r="V1118" s="4"/>
      <c r="W1118" s="4"/>
    </row>
    <row r="1119" spans="1:23" ht="15.75" customHeight="1" x14ac:dyDescent="0.25">
      <c r="A1119" s="4"/>
      <c r="B1119" s="4"/>
      <c r="C1119" s="4"/>
      <c r="D1119" s="4"/>
      <c r="E1119" s="4"/>
      <c r="F1119" s="4"/>
      <c r="G1119" s="4"/>
      <c r="H1119" s="4"/>
      <c r="I1119" s="4"/>
      <c r="J1119" s="4"/>
      <c r="K1119" s="4"/>
      <c r="L1119" s="4"/>
      <c r="M1119" s="4"/>
      <c r="N1119" s="4"/>
      <c r="O1119" s="4"/>
      <c r="P1119" s="4"/>
      <c r="Q1119" s="4"/>
      <c r="R1119" s="4"/>
      <c r="S1119" s="4"/>
      <c r="T1119" s="4"/>
      <c r="U1119" s="4"/>
      <c r="V1119" s="4"/>
      <c r="W1119" s="4"/>
    </row>
    <row r="1120" spans="1:23" ht="15.75" customHeight="1" x14ac:dyDescent="0.25">
      <c r="A1120" s="4"/>
      <c r="B1120" s="4"/>
      <c r="C1120" s="4"/>
      <c r="D1120" s="4"/>
      <c r="E1120" s="4"/>
      <c r="F1120" s="4"/>
      <c r="G1120" s="4"/>
      <c r="H1120" s="4"/>
      <c r="I1120" s="4"/>
      <c r="J1120" s="4"/>
      <c r="K1120" s="4"/>
      <c r="L1120" s="4"/>
      <c r="M1120" s="4"/>
      <c r="N1120" s="4"/>
      <c r="O1120" s="4"/>
      <c r="P1120" s="4"/>
      <c r="Q1120" s="4"/>
      <c r="R1120" s="4"/>
      <c r="S1120" s="4"/>
      <c r="T1120" s="4"/>
      <c r="U1120" s="4"/>
      <c r="V1120" s="4"/>
      <c r="W1120" s="4"/>
    </row>
    <row r="1121" spans="1:23" ht="15.75" customHeight="1" x14ac:dyDescent="0.25">
      <c r="A1121" s="4"/>
      <c r="B1121" s="4"/>
      <c r="C1121" s="4"/>
      <c r="D1121" s="4"/>
      <c r="E1121" s="4"/>
      <c r="F1121" s="4"/>
      <c r="G1121" s="4"/>
      <c r="H1121" s="4"/>
      <c r="I1121" s="4"/>
      <c r="J1121" s="4"/>
      <c r="K1121" s="4"/>
      <c r="L1121" s="4"/>
      <c r="M1121" s="4"/>
      <c r="N1121" s="4"/>
      <c r="O1121" s="4"/>
      <c r="P1121" s="4"/>
      <c r="Q1121" s="4"/>
      <c r="R1121" s="4"/>
      <c r="S1121" s="4"/>
      <c r="T1121" s="4"/>
      <c r="U1121" s="4"/>
      <c r="V1121" s="4"/>
      <c r="W1121" s="4"/>
    </row>
    <row r="1122" spans="1:23" ht="15.75" customHeight="1" x14ac:dyDescent="0.25">
      <c r="A1122" s="4"/>
      <c r="B1122" s="4"/>
      <c r="C1122" s="4"/>
      <c r="D1122" s="4"/>
      <c r="E1122" s="4"/>
      <c r="F1122" s="4"/>
      <c r="G1122" s="4"/>
      <c r="H1122" s="4"/>
      <c r="I1122" s="4"/>
      <c r="J1122" s="4"/>
      <c r="K1122" s="4"/>
      <c r="L1122" s="4"/>
      <c r="M1122" s="4"/>
      <c r="N1122" s="4"/>
      <c r="O1122" s="4"/>
      <c r="P1122" s="4"/>
      <c r="Q1122" s="4"/>
      <c r="R1122" s="4"/>
      <c r="S1122" s="4"/>
      <c r="T1122" s="4"/>
      <c r="U1122" s="4"/>
      <c r="V1122" s="4"/>
      <c r="W1122" s="4"/>
    </row>
    <row r="1123" spans="1:23" ht="15.75" customHeight="1" x14ac:dyDescent="0.25">
      <c r="A1123" s="4"/>
      <c r="B1123" s="4"/>
      <c r="C1123" s="4"/>
      <c r="D1123" s="4"/>
      <c r="E1123" s="4"/>
      <c r="F1123" s="4"/>
      <c r="G1123" s="4"/>
      <c r="H1123" s="4"/>
      <c r="I1123" s="4"/>
      <c r="J1123" s="4"/>
      <c r="K1123" s="4"/>
      <c r="L1123" s="4"/>
      <c r="M1123" s="4"/>
      <c r="N1123" s="4"/>
      <c r="O1123" s="4"/>
      <c r="P1123" s="4"/>
      <c r="Q1123" s="4"/>
      <c r="R1123" s="4"/>
      <c r="S1123" s="4"/>
      <c r="T1123" s="4"/>
      <c r="U1123" s="4"/>
      <c r="V1123" s="4"/>
      <c r="W1123" s="4"/>
    </row>
    <row r="1124" spans="1:23" ht="15.75" customHeight="1" x14ac:dyDescent="0.25">
      <c r="A1124" s="4"/>
      <c r="B1124" s="4"/>
      <c r="C1124" s="4"/>
      <c r="D1124" s="4"/>
      <c r="E1124" s="4"/>
      <c r="F1124" s="4"/>
      <c r="G1124" s="4"/>
      <c r="H1124" s="4"/>
      <c r="I1124" s="4"/>
      <c r="J1124" s="4"/>
      <c r="K1124" s="4"/>
      <c r="L1124" s="4"/>
      <c r="M1124" s="4"/>
      <c r="N1124" s="4"/>
      <c r="O1124" s="4"/>
      <c r="P1124" s="4"/>
      <c r="Q1124" s="4"/>
      <c r="R1124" s="4"/>
      <c r="S1124" s="4"/>
      <c r="T1124" s="4"/>
      <c r="U1124" s="4"/>
      <c r="V1124" s="4"/>
      <c r="W1124" s="4"/>
    </row>
    <row r="1125" spans="1:23" ht="15.75" customHeight="1" x14ac:dyDescent="0.25">
      <c r="A1125" s="4"/>
      <c r="B1125" s="4"/>
      <c r="C1125" s="4"/>
      <c r="D1125" s="4"/>
      <c r="E1125" s="4"/>
      <c r="F1125" s="4"/>
      <c r="G1125" s="4"/>
      <c r="H1125" s="4"/>
      <c r="I1125" s="4"/>
      <c r="J1125" s="4"/>
      <c r="K1125" s="4"/>
      <c r="L1125" s="4"/>
      <c r="M1125" s="4"/>
      <c r="N1125" s="4"/>
      <c r="O1125" s="4"/>
      <c r="P1125" s="4"/>
      <c r="Q1125" s="4"/>
      <c r="R1125" s="4"/>
      <c r="S1125" s="4"/>
      <c r="T1125" s="4"/>
      <c r="U1125" s="4"/>
      <c r="V1125" s="4"/>
      <c r="W1125" s="4"/>
    </row>
    <row r="1126" spans="1:23" ht="15.75" customHeight="1" x14ac:dyDescent="0.25">
      <c r="A1126" s="4"/>
      <c r="B1126" s="4"/>
      <c r="C1126" s="4"/>
      <c r="D1126" s="4"/>
      <c r="E1126" s="4"/>
      <c r="F1126" s="4"/>
      <c r="G1126" s="4"/>
      <c r="H1126" s="4"/>
      <c r="I1126" s="4"/>
      <c r="J1126" s="4"/>
      <c r="K1126" s="4"/>
      <c r="L1126" s="4"/>
      <c r="M1126" s="4"/>
      <c r="N1126" s="4"/>
      <c r="O1126" s="4"/>
      <c r="P1126" s="4"/>
      <c r="Q1126" s="4"/>
      <c r="R1126" s="4"/>
      <c r="S1126" s="4"/>
      <c r="T1126" s="4"/>
      <c r="U1126" s="4"/>
      <c r="V1126" s="4"/>
      <c r="W1126" s="4"/>
    </row>
    <row r="1127" spans="1:23" ht="15.75" customHeight="1" x14ac:dyDescent="0.25">
      <c r="A1127" s="4"/>
      <c r="B1127" s="4"/>
      <c r="C1127" s="4"/>
      <c r="D1127" s="4"/>
      <c r="E1127" s="4"/>
      <c r="F1127" s="4"/>
      <c r="G1127" s="4"/>
      <c r="H1127" s="4"/>
      <c r="I1127" s="4"/>
      <c r="J1127" s="4"/>
      <c r="K1127" s="4"/>
      <c r="L1127" s="4"/>
      <c r="M1127" s="4"/>
      <c r="N1127" s="4"/>
      <c r="O1127" s="4"/>
      <c r="P1127" s="4"/>
      <c r="Q1127" s="4"/>
      <c r="R1127" s="4"/>
      <c r="S1127" s="4"/>
      <c r="T1127" s="4"/>
      <c r="U1127" s="4"/>
      <c r="V1127" s="4"/>
      <c r="W1127" s="4"/>
    </row>
    <row r="1128" spans="1:23" ht="15.75" customHeight="1" x14ac:dyDescent="0.25">
      <c r="A1128" s="4"/>
      <c r="B1128" s="4"/>
      <c r="C1128" s="4"/>
      <c r="D1128" s="4"/>
      <c r="E1128" s="4"/>
      <c r="F1128" s="4"/>
      <c r="G1128" s="4"/>
      <c r="H1128" s="4"/>
      <c r="I1128" s="4"/>
      <c r="J1128" s="4"/>
      <c r="K1128" s="4"/>
      <c r="L1128" s="4"/>
      <c r="M1128" s="4"/>
      <c r="N1128" s="4"/>
      <c r="O1128" s="4"/>
      <c r="P1128" s="4"/>
      <c r="Q1128" s="4"/>
      <c r="R1128" s="4"/>
      <c r="S1128" s="4"/>
      <c r="T1128" s="4"/>
      <c r="U1128" s="4"/>
      <c r="V1128" s="4"/>
      <c r="W1128" s="4"/>
    </row>
    <row r="1129" spans="1:23" ht="15.75" customHeight="1" x14ac:dyDescent="0.25">
      <c r="A1129" s="4"/>
      <c r="B1129" s="4"/>
      <c r="C1129" s="4"/>
      <c r="D1129" s="4"/>
      <c r="E1129" s="4"/>
      <c r="F1129" s="4"/>
      <c r="G1129" s="4"/>
      <c r="H1129" s="4"/>
      <c r="I1129" s="4"/>
      <c r="J1129" s="4"/>
      <c r="K1129" s="4"/>
      <c r="L1129" s="4"/>
      <c r="M1129" s="4"/>
      <c r="N1129" s="4"/>
      <c r="O1129" s="4"/>
      <c r="P1129" s="4"/>
      <c r="Q1129" s="4"/>
      <c r="R1129" s="4"/>
      <c r="S1129" s="4"/>
      <c r="T1129" s="4"/>
      <c r="U1129" s="4"/>
      <c r="V1129" s="4"/>
      <c r="W1129" s="4"/>
    </row>
    <row r="1130" spans="1:23" ht="15.75" customHeight="1" x14ac:dyDescent="0.25">
      <c r="A1130" s="4"/>
      <c r="B1130" s="4"/>
      <c r="C1130" s="4"/>
      <c r="D1130" s="4"/>
      <c r="E1130" s="4"/>
      <c r="F1130" s="4"/>
      <c r="G1130" s="4"/>
      <c r="H1130" s="4"/>
      <c r="I1130" s="4"/>
      <c r="J1130" s="4"/>
      <c r="K1130" s="4"/>
      <c r="L1130" s="4"/>
      <c r="M1130" s="4"/>
      <c r="N1130" s="4"/>
      <c r="O1130" s="4"/>
      <c r="P1130" s="4"/>
      <c r="Q1130" s="4"/>
      <c r="R1130" s="4"/>
      <c r="S1130" s="4"/>
      <c r="T1130" s="4"/>
      <c r="U1130" s="4"/>
      <c r="V1130" s="4"/>
      <c r="W1130" s="4"/>
    </row>
    <row r="1131" spans="1:23" ht="15.75" customHeight="1" x14ac:dyDescent="0.25">
      <c r="A1131" s="4"/>
      <c r="B1131" s="4"/>
      <c r="C1131" s="4"/>
      <c r="D1131" s="4"/>
      <c r="E1131" s="4"/>
      <c r="F1131" s="4"/>
      <c r="G1131" s="4"/>
      <c r="H1131" s="4"/>
      <c r="I1131" s="4"/>
      <c r="J1131" s="4"/>
      <c r="K1131" s="4"/>
      <c r="L1131" s="4"/>
      <c r="M1131" s="4"/>
      <c r="N1131" s="4"/>
      <c r="O1131" s="4"/>
      <c r="P1131" s="4"/>
      <c r="Q1131" s="4"/>
      <c r="R1131" s="4"/>
      <c r="S1131" s="4"/>
      <c r="T1131" s="4"/>
      <c r="U1131" s="4"/>
      <c r="V1131" s="4"/>
      <c r="W1131" s="4"/>
    </row>
    <row r="1132" spans="1:23" ht="15.75" customHeight="1" x14ac:dyDescent="0.25">
      <c r="A1132" s="4"/>
      <c r="B1132" s="4"/>
      <c r="C1132" s="4"/>
      <c r="D1132" s="4"/>
      <c r="E1132" s="4"/>
      <c r="F1132" s="4"/>
      <c r="G1132" s="4"/>
      <c r="H1132" s="4"/>
      <c r="I1132" s="4"/>
      <c r="J1132" s="4"/>
      <c r="K1132" s="4"/>
      <c r="L1132" s="4"/>
      <c r="M1132" s="4"/>
      <c r="N1132" s="4"/>
      <c r="O1132" s="4"/>
      <c r="P1132" s="4"/>
      <c r="Q1132" s="4"/>
      <c r="R1132" s="4"/>
      <c r="S1132" s="4"/>
      <c r="T1132" s="4"/>
      <c r="U1132" s="4"/>
      <c r="V1132" s="4"/>
      <c r="W1132" s="4"/>
    </row>
    <row r="1133" spans="1:23" ht="15.75" customHeight="1" x14ac:dyDescent="0.25">
      <c r="A1133" s="4"/>
      <c r="B1133" s="4"/>
      <c r="C1133" s="4"/>
      <c r="D1133" s="4"/>
      <c r="E1133" s="4"/>
      <c r="F1133" s="4"/>
      <c r="G1133" s="4"/>
      <c r="H1133" s="4"/>
      <c r="I1133" s="4"/>
      <c r="J1133" s="4"/>
      <c r="K1133" s="4"/>
      <c r="L1133" s="4"/>
      <c r="M1133" s="4"/>
      <c r="N1133" s="4"/>
      <c r="O1133" s="4"/>
      <c r="P1133" s="4"/>
      <c r="Q1133" s="4"/>
      <c r="R1133" s="4"/>
      <c r="S1133" s="4"/>
      <c r="T1133" s="4"/>
      <c r="U1133" s="4"/>
      <c r="V1133" s="4"/>
      <c r="W1133" s="4"/>
    </row>
    <row r="1134" spans="1:23" ht="15.75" customHeight="1" x14ac:dyDescent="0.25">
      <c r="A1134" s="4"/>
      <c r="B1134" s="4"/>
      <c r="C1134" s="4"/>
      <c r="D1134" s="4"/>
      <c r="E1134" s="4"/>
      <c r="F1134" s="4"/>
      <c r="G1134" s="4"/>
      <c r="H1134" s="4"/>
      <c r="I1134" s="4"/>
      <c r="J1134" s="4"/>
      <c r="K1134" s="4"/>
      <c r="L1134" s="4"/>
      <c r="M1134" s="4"/>
      <c r="N1134" s="4"/>
      <c r="O1134" s="4"/>
      <c r="P1134" s="4"/>
      <c r="Q1134" s="4"/>
      <c r="R1134" s="4"/>
      <c r="S1134" s="4"/>
      <c r="T1134" s="4"/>
      <c r="U1134" s="4"/>
      <c r="V1134" s="4"/>
      <c r="W1134" s="4"/>
    </row>
    <row r="1135" spans="1:23" ht="15.75" customHeight="1" x14ac:dyDescent="0.25">
      <c r="A1135" s="4"/>
      <c r="B1135" s="4"/>
      <c r="C1135" s="4"/>
      <c r="D1135" s="4"/>
      <c r="E1135" s="4"/>
      <c r="F1135" s="4"/>
      <c r="G1135" s="4"/>
      <c r="H1135" s="4"/>
      <c r="I1135" s="4"/>
      <c r="J1135" s="4"/>
      <c r="K1135" s="4"/>
      <c r="L1135" s="4"/>
      <c r="M1135" s="4"/>
      <c r="N1135" s="4"/>
      <c r="O1135" s="4"/>
      <c r="P1135" s="4"/>
      <c r="Q1135" s="4"/>
      <c r="R1135" s="4"/>
      <c r="S1135" s="4"/>
      <c r="T1135" s="4"/>
      <c r="U1135" s="4"/>
      <c r="V1135" s="4"/>
      <c r="W1135" s="4"/>
    </row>
    <row r="1136" spans="1:23" ht="15.75" customHeight="1" x14ac:dyDescent="0.25">
      <c r="A1136" s="4"/>
      <c r="B1136" s="4"/>
      <c r="C1136" s="4"/>
      <c r="D1136" s="4"/>
      <c r="E1136" s="4"/>
      <c r="F1136" s="4"/>
      <c r="G1136" s="4"/>
      <c r="H1136" s="4"/>
      <c r="I1136" s="4"/>
      <c r="J1136" s="4"/>
      <c r="K1136" s="4"/>
      <c r="L1136" s="4"/>
      <c r="M1136" s="4"/>
      <c r="N1136" s="4"/>
      <c r="O1136" s="4"/>
      <c r="P1136" s="4"/>
      <c r="Q1136" s="4"/>
      <c r="R1136" s="4"/>
      <c r="S1136" s="4"/>
      <c r="T1136" s="4"/>
      <c r="U1136" s="4"/>
      <c r="V1136" s="4"/>
      <c r="W1136" s="4"/>
    </row>
    <row r="1137" spans="1:23" ht="15.75" customHeight="1" x14ac:dyDescent="0.25">
      <c r="A1137" s="4"/>
      <c r="B1137" s="4"/>
      <c r="C1137" s="4"/>
      <c r="D1137" s="4"/>
      <c r="E1137" s="4"/>
      <c r="F1137" s="4"/>
      <c r="G1137" s="4"/>
      <c r="H1137" s="4"/>
      <c r="I1137" s="4"/>
      <c r="J1137" s="4"/>
      <c r="K1137" s="4"/>
      <c r="L1137" s="4"/>
      <c r="M1137" s="4"/>
      <c r="N1137" s="4"/>
      <c r="O1137" s="4"/>
      <c r="P1137" s="4"/>
      <c r="Q1137" s="4"/>
      <c r="R1137" s="4"/>
      <c r="S1137" s="4"/>
      <c r="T1137" s="4"/>
      <c r="U1137" s="4"/>
      <c r="V1137" s="4"/>
      <c r="W1137" s="4"/>
    </row>
    <row r="1138" spans="1:23" ht="15.75" customHeight="1" x14ac:dyDescent="0.25">
      <c r="A1138" s="4"/>
      <c r="B1138" s="4"/>
      <c r="C1138" s="4"/>
      <c r="D1138" s="4"/>
      <c r="E1138" s="4"/>
      <c r="F1138" s="4"/>
      <c r="G1138" s="4"/>
      <c r="H1138" s="4"/>
      <c r="I1138" s="4"/>
      <c r="J1138" s="4"/>
      <c r="K1138" s="4"/>
      <c r="L1138" s="4"/>
      <c r="M1138" s="4"/>
      <c r="N1138" s="4"/>
      <c r="O1138" s="4"/>
      <c r="P1138" s="4"/>
      <c r="Q1138" s="4"/>
      <c r="R1138" s="4"/>
      <c r="S1138" s="4"/>
      <c r="T1138" s="4"/>
      <c r="U1138" s="4"/>
      <c r="V1138" s="4"/>
      <c r="W1138" s="4"/>
    </row>
    <row r="1139" spans="1:23" ht="15.75" customHeight="1" x14ac:dyDescent="0.25">
      <c r="A1139" s="4"/>
      <c r="B1139" s="4"/>
      <c r="C1139" s="4"/>
      <c r="D1139" s="4"/>
      <c r="E1139" s="4"/>
      <c r="F1139" s="4"/>
      <c r="G1139" s="4"/>
      <c r="H1139" s="4"/>
      <c r="I1139" s="4"/>
      <c r="J1139" s="4"/>
      <c r="K1139" s="4"/>
      <c r="L1139" s="4"/>
      <c r="M1139" s="4"/>
      <c r="N1139" s="4"/>
      <c r="O1139" s="4"/>
      <c r="P1139" s="4"/>
      <c r="Q1139" s="4"/>
      <c r="R1139" s="4"/>
      <c r="S1139" s="4"/>
      <c r="T1139" s="4"/>
      <c r="U1139" s="4"/>
      <c r="V1139" s="4"/>
      <c r="W1139" s="4"/>
    </row>
  </sheetData>
  <mergeCells count="10">
    <mergeCell ref="AU2:AV2"/>
    <mergeCell ref="A1:Y1"/>
    <mergeCell ref="AB1:AV1"/>
    <mergeCell ref="G2:L2"/>
    <mergeCell ref="N2:S2"/>
    <mergeCell ref="U2:V2"/>
    <mergeCell ref="X2:Y2"/>
    <mergeCell ref="AD2:AI2"/>
    <mergeCell ref="AK2:AP2"/>
    <mergeCell ref="AR2:AS2"/>
  </mergeCells>
  <pageMargins left="0.7" right="0.7" top="0.75" bottom="0.75" header="0" footer="0"/>
  <pageSetup orientation="landscape" r:id="rId1"/>
  <ignoredErrors>
    <ignoredError sqref="H3:W3 AB3 AC3:AN3 X3:AA3" twoDigitTextYear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ADVANCED</vt:lpstr>
      <vt:lpstr>SHOOTING</vt:lpstr>
      <vt:lpstr>SHOOTING OPPONENT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2026-09-01T12:22:38Z</dcterms:modified>
</cp:coreProperties>
</file>