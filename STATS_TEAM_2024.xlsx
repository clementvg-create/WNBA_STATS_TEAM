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13_ncr:1_{D27C5EC0-7155-4E05-AF66-BD4907AA7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<sst xmlns="http://schemas.openxmlformats.org/spreadsheetml/2006/main" count="188" uniqueCount="54">
  <si>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</si>
  <si>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</si>
  <si>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</si>
  <si>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</si>
  <si>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</si>
  <si>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</si>
  <si>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</si>
  <si>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</si>
  <si>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</si>
  <si>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</si>
  <si>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</si>
  <si>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</si>
  <si>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</si>
  <si>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</si>
  <si>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</si>
  <si>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</si>
  <si>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</si>
  <si>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</si>
  <si>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</si>
  <si>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</si>
  <si>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</si>
  <si>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</si>
  <si>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</si>
  <si>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</si>
  <si>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</si>
  <si>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</si>
  <si>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</si>
  <si>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</si>
  <si>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</si>
  <si>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</si>
  <si>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</si>
  <si>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</si>
  <si>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</si>
  <si>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</si>
  <si>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</si>
  <si>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</si>
  <si>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</si>
  <si>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</si>
  <si>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</si>
  <si>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</si>
  <si>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</si>
  <si>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</si>
  <si>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Washington Mystics</t>
  </si>
  <si>
    <t>Chicago Sky</t>
  </si>
  <si>
    <t>Los Angeles Sparks</t>
  </si>
  <si>
    <t>Dallas Wings</t>
  </si>
  <si>
    <t>New York Liberty</t>
  </si>
  <si>
    <t>Connecticut Sun</t>
  </si>
  <si>
    <t>Minnesota Lynx</t>
  </si>
  <si>
    <t>Las Vegas Aces</t>
  </si>
  <si>
    <t>Seattle Storm</t>
  </si>
  <si>
    <t>Indiana Fever</t>
  </si>
  <si>
    <t>Atlanta Dream</t>
  </si>
  <si>
    <t>Phoenix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</si>
</sst>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C1" s="17" t="s">
        <v>24</v>
      </c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spans="1:53" ht="26.25" x14ac:dyDescent="0.4">
      <c r="A2" s="11"/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1"/>
      <c r="R2" s="18" t="s">
        <v>22</v>
      </c>
      <c r="S2" s="18"/>
      <c r="T2" s="18"/>
      <c r="U2" s="18"/>
      <c r="V2" s="11"/>
      <c r="W2" s="18" t="s">
        <v>23</v>
      </c>
      <c r="X2" s="18"/>
      <c r="Y2" s="18"/>
      <c r="Z2" s="18"/>
      <c r="AC2" s="18" t="s">
        <v>0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2"/>
      <c r="AS2" s="18" t="s">
        <v>22</v>
      </c>
      <c r="AT2" s="18"/>
      <c r="AU2" s="18"/>
      <c r="AV2" s="18"/>
      <c r="AW2" s="12"/>
      <c r="AX2" s="18" t="s">
        <v>23</v>
      </c>
      <c r="AY2" s="18"/>
      <c r="AZ2" s="18"/>
      <c r="BA2" s="18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28.5</v>
      </c>
      <c r="C4" s="1">
        <v>32</v>
      </c>
      <c r="D4" s="1">
        <v>8</v>
      </c>
      <c r="E4" s="1">
        <v>33</v>
      </c>
      <c r="F4" s="1">
        <v>7</v>
      </c>
      <c r="G4" s="9">
        <v>9.15</v>
      </c>
      <c r="H4" s="9">
        <v>-1.0900000000000001</v>
      </c>
      <c r="I4" s="9">
        <v>8.06</v>
      </c>
      <c r="J4" s="9">
        <v>109.6</v>
      </c>
      <c r="K4" s="9">
        <v>97.9</v>
      </c>
      <c r="L4" s="9">
        <v>11.7</v>
      </c>
      <c r="M4" s="9">
        <v>78.099999999999994</v>
      </c>
      <c r="N4" s="9">
        <v>0.25</v>
      </c>
      <c r="O4" s="9">
        <v>0.42199999999999999</v>
      </c>
      <c r="P4" s="9">
        <v>0.56100000000000005</v>
      </c>
      <c r="Q4" s="1"/>
      <c r="R4" s="9">
        <v>0.52100000000000002</v>
      </c>
      <c r="S4" s="9">
        <v>14.2</v>
      </c>
      <c r="T4" s="9">
        <v>25.1</v>
      </c>
      <c r="U4" s="9">
        <v>0.20300000000000001</v>
      </c>
      <c r="V4" s="1"/>
      <c r="W4" s="9">
        <v>0.47599999999999998</v>
      </c>
      <c r="X4" s="9">
        <v>14.5</v>
      </c>
      <c r="Y4" s="9">
        <v>79.2</v>
      </c>
      <c r="Z4" s="9">
        <v>0.16700000000000001</v>
      </c>
      <c r="AA4" s="5"/>
      <c r="AB4" s="5"/>
      <c r="AC4" s="5">
        <f t="shared" ref="AC4:AQ15" si="0">RANK(B4,B$4:B$18,0)</f>
        <v>5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3</v>
      </c>
      <c r="AM4" s="5">
        <f t="shared" si="0"/>
        <v>1</v>
      </c>
      <c r="AN4" s="5">
        <f t="shared" si="0"/>
        <v>9</v>
      </c>
      <c r="AO4" s="5">
        <f t="shared" si="0"/>
        <v>9</v>
      </c>
      <c r="AP4" s="5">
        <f t="shared" si="0"/>
        <v>1</v>
      </c>
      <c r="AQ4" s="5">
        <f t="shared" si="0"/>
        <v>2</v>
      </c>
      <c r="AR4" s="5"/>
      <c r="AS4" s="5">
        <f>RANK(R4,R$4:R$18,0)</f>
        <v>3</v>
      </c>
      <c r="AT4" s="5">
        <f>RANK(S4,S$4:S$18,1)</f>
        <v>5</v>
      </c>
      <c r="AU4" s="5">
        <f>RANK(T4,T$4:T$18,0)</f>
        <v>5</v>
      </c>
      <c r="AV4" s="5">
        <f>RANK(U4,U$4:U$18,0)</f>
        <v>8</v>
      </c>
      <c r="AW4" s="5"/>
      <c r="AX4" s="5">
        <f>RANK(W4,W$4:W$18,1)</f>
        <v>2</v>
      </c>
      <c r="AY4" s="5">
        <f>RANK(X4,X$4:X$18,0)</f>
        <v>5</v>
      </c>
      <c r="AZ4" s="5">
        <f>RANK(Y4,Y$4:Y$18,0)</f>
        <v>2</v>
      </c>
      <c r="BA4" s="5">
        <f>RANK(Z4,Z$4:Z$18,1)</f>
        <v>1</v>
      </c>
    </row>
    <row r="5" spans="1:53" x14ac:dyDescent="0.25">
      <c r="A5" s="6" t="s">
        <v>47</v>
      </c>
      <c r="B5" s="8">
        <v>28.9</v>
      </c>
      <c r="C5" s="1">
        <v>28</v>
      </c>
      <c r="D5" s="1">
        <v>12</v>
      </c>
      <c r="E5" s="1">
        <v>31</v>
      </c>
      <c r="F5" s="1">
        <v>9</v>
      </c>
      <c r="G5" s="9">
        <v>6.5</v>
      </c>
      <c r="H5" s="9">
        <v>-0.75</v>
      </c>
      <c r="I5" s="9">
        <v>5.75</v>
      </c>
      <c r="J5" s="9">
        <v>105</v>
      </c>
      <c r="K5" s="9">
        <v>96.4</v>
      </c>
      <c r="L5" s="9">
        <v>8.6</v>
      </c>
      <c r="M5" s="9">
        <v>75.8</v>
      </c>
      <c r="N5" s="9">
        <v>0.317</v>
      </c>
      <c r="O5" s="9">
        <v>0.27300000000000002</v>
      </c>
      <c r="P5" s="9">
        <v>0.53300000000000003</v>
      </c>
      <c r="Q5" s="1"/>
      <c r="R5" s="9">
        <v>0.48799999999999999</v>
      </c>
      <c r="S5" s="9">
        <v>13.8</v>
      </c>
      <c r="T5" s="9">
        <v>25.2</v>
      </c>
      <c r="U5" s="9">
        <v>0.23899999999999999</v>
      </c>
      <c r="V5" s="1"/>
      <c r="W5" s="9">
        <v>0.48199999999999998</v>
      </c>
      <c r="X5" s="9">
        <v>17.600000000000001</v>
      </c>
      <c r="Y5" s="9">
        <v>78.2</v>
      </c>
      <c r="Z5" s="9">
        <v>0.20399999999999999</v>
      </c>
      <c r="AA5" s="5"/>
      <c r="AB5" s="5"/>
      <c r="AC5" s="5">
        <f t="shared" ref="AC5:AC15" si="1">RANK(B5,B$4:B$18,0)</f>
        <v>4</v>
      </c>
      <c r="AD5" s="5">
        <f t="shared" ref="AD5:AD15" si="2">RANK(C5,C$4:C$18,0)</f>
        <v>3</v>
      </c>
      <c r="AE5" s="5">
        <f t="shared" ref="AE5:AE15" si="3">RANK(D5,D$4:D$18,1)</f>
        <v>3</v>
      </c>
      <c r="AF5" s="5">
        <f t="shared" si="0"/>
        <v>2</v>
      </c>
      <c r="AG5" s="5">
        <f t="shared" ref="AG5:AG15" si="4">RANK(F5,F$4:F$18,1)</f>
        <v>2</v>
      </c>
      <c r="AH5" s="5">
        <f t="shared" ref="AH5:AH15" si="5">RANK(G5,G$4:G$18,0)</f>
        <v>2</v>
      </c>
      <c r="AI5" s="5">
        <f t="shared" ref="AI5:AI15" si="6">RANK(H5,H$4:H$18,0)</f>
        <v>11</v>
      </c>
      <c r="AJ5" s="5">
        <f t="shared" ref="AJ5:AJ15" si="7">RANK(I5,I$4:I$18,0)</f>
        <v>2</v>
      </c>
      <c r="AK5" s="5">
        <f t="shared" ref="AK5:AK15" si="8">RANK(J5,J$4:J$18,0)</f>
        <v>4</v>
      </c>
      <c r="AL5" s="5">
        <f t="shared" ref="AL5:AL15" si="9">RANK(K5,K$4:K$18,1)</f>
        <v>1</v>
      </c>
      <c r="AM5" s="5">
        <f t="shared" ref="AM5:AM15" si="10">RANK(L5,L$4:L$18,0)</f>
        <v>2</v>
      </c>
      <c r="AN5" s="5">
        <f t="shared" ref="AN5:AN15" si="11">RANK(M5,M$4:M$18,0)</f>
        <v>12</v>
      </c>
      <c r="AO5" s="5">
        <f t="shared" ref="AO5:AO15" si="12">RANK(N5,N$4:N$18,0)</f>
        <v>1</v>
      </c>
      <c r="AP5" s="5">
        <f t="shared" ref="AP5:AP15" si="13">RANK(O5,O$4:O$18,0)</f>
        <v>10</v>
      </c>
      <c r="AQ5" s="5">
        <f t="shared" ref="AQ5:AQ15" si="14">RANK(P5,P$4:P$18,0)</f>
        <v>7</v>
      </c>
      <c r="AR5" s="5"/>
      <c r="AS5" s="5">
        <f t="shared" ref="AS5:AU11" si="15">RANK(R5,R$4:R$18,0)</f>
        <v>8</v>
      </c>
      <c r="AT5" s="5">
        <f t="shared" ref="AT5:AT15" si="16">RANK(S5,S$4:S$18,1)</f>
        <v>3</v>
      </c>
      <c r="AU5" s="5">
        <f t="shared" si="15"/>
        <v>4</v>
      </c>
      <c r="AV5" s="5">
        <f t="shared" ref="AV5:AV15" si="17">RANK(U5,U$4:U$18,0)</f>
        <v>1</v>
      </c>
      <c r="AW5" s="5"/>
      <c r="AX5" s="5">
        <f t="shared" ref="AX5:AX15" si="18">RANK(W5,W$4:W$18,1)</f>
        <v>4</v>
      </c>
      <c r="AY5" s="5">
        <f t="shared" ref="AY5:AZ15" si="19">RANK(X5,X$4:X$18,0)</f>
        <v>1</v>
      </c>
      <c r="AZ5" s="5">
        <f t="shared" si="19"/>
        <v>4</v>
      </c>
      <c r="BA5" s="5">
        <f t="shared" ref="BA5:BA15" si="20">RANK(Z5,Z$4:Z$18,1)</f>
        <v>5</v>
      </c>
    </row>
    <row r="6" spans="1:53" x14ac:dyDescent="0.25">
      <c r="A6" s="6" t="s">
        <v>48</v>
      </c>
      <c r="B6" s="8">
        <v>27.9</v>
      </c>
      <c r="C6" s="1">
        <v>30</v>
      </c>
      <c r="D6" s="1">
        <v>10</v>
      </c>
      <c r="E6" s="1">
        <v>30</v>
      </c>
      <c r="F6" s="1">
        <v>10</v>
      </c>
      <c r="G6" s="9">
        <v>6.38</v>
      </c>
      <c r="H6" s="9">
        <v>-0.74</v>
      </c>
      <c r="I6" s="9">
        <v>5.64</v>
      </c>
      <c r="J6" s="9">
        <v>104.6</v>
      </c>
      <c r="K6" s="9">
        <v>96.5</v>
      </c>
      <c r="L6" s="9">
        <v>8.1</v>
      </c>
      <c r="M6" s="9">
        <v>77.7</v>
      </c>
      <c r="N6" s="9">
        <v>0.23</v>
      </c>
      <c r="O6" s="9">
        <v>0.371</v>
      </c>
      <c r="P6" s="9">
        <v>0.55300000000000005</v>
      </c>
      <c r="Q6" s="1"/>
      <c r="R6" s="9">
        <v>0.51800000000000002</v>
      </c>
      <c r="S6" s="9">
        <v>15.3</v>
      </c>
      <c r="T6" s="9">
        <v>22.3</v>
      </c>
      <c r="U6" s="9">
        <v>0.182</v>
      </c>
      <c r="V6" s="1"/>
      <c r="W6" s="9">
        <v>0.46</v>
      </c>
      <c r="X6" s="9">
        <v>16.5</v>
      </c>
      <c r="Y6" s="9">
        <v>74.2</v>
      </c>
      <c r="Z6" s="9">
        <v>0.18099999999999999</v>
      </c>
      <c r="AA6" s="5"/>
      <c r="AB6" s="5"/>
      <c r="AC6" s="5">
        <f t="shared" si="1"/>
        <v>6</v>
      </c>
      <c r="AD6" s="5">
        <f t="shared" si="2"/>
        <v>2</v>
      </c>
      <c r="AE6" s="5">
        <f t="shared" si="3"/>
        <v>2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10</v>
      </c>
      <c r="AJ6" s="5">
        <f t="shared" si="7"/>
        <v>3</v>
      </c>
      <c r="AK6" s="5">
        <f t="shared" si="8"/>
        <v>5</v>
      </c>
      <c r="AL6" s="5">
        <f t="shared" si="9"/>
        <v>2</v>
      </c>
      <c r="AM6" s="5">
        <f t="shared" si="10"/>
        <v>3</v>
      </c>
      <c r="AN6" s="5">
        <f t="shared" si="11"/>
        <v>10</v>
      </c>
      <c r="AO6" s="5">
        <f t="shared" si="12"/>
        <v>11</v>
      </c>
      <c r="AP6" s="5">
        <f t="shared" si="13"/>
        <v>6</v>
      </c>
      <c r="AQ6" s="5">
        <f t="shared" si="14"/>
        <v>4</v>
      </c>
      <c r="AR6" s="5"/>
      <c r="AS6" s="5">
        <f t="shared" si="15"/>
        <v>4</v>
      </c>
      <c r="AT6" s="5">
        <f t="shared" si="16"/>
        <v>8</v>
      </c>
      <c r="AU6" s="5">
        <f t="shared" si="15"/>
        <v>8</v>
      </c>
      <c r="AV6" s="5">
        <f t="shared" si="17"/>
        <v>11</v>
      </c>
      <c r="AW6" s="5"/>
      <c r="AX6" s="5">
        <f t="shared" si="18"/>
        <v>1</v>
      </c>
      <c r="AY6" s="5">
        <f t="shared" si="19"/>
        <v>3</v>
      </c>
      <c r="AZ6" s="5">
        <f t="shared" si="19"/>
        <v>10</v>
      </c>
      <c r="BA6" s="5">
        <f t="shared" si="20"/>
        <v>2</v>
      </c>
    </row>
    <row r="7" spans="1:53" x14ac:dyDescent="0.25">
      <c r="A7" s="6" t="s">
        <v>49</v>
      </c>
      <c r="B7" s="8">
        <v>29.6</v>
      </c>
      <c r="C7" s="1">
        <v>27</v>
      </c>
      <c r="D7" s="1">
        <v>13</v>
      </c>
      <c r="E7" s="1">
        <v>29</v>
      </c>
      <c r="F7" s="1">
        <v>11</v>
      </c>
      <c r="G7" s="9">
        <v>5.48</v>
      </c>
      <c r="H7" s="9">
        <v>-0.7</v>
      </c>
      <c r="I7" s="9">
        <v>4.7699999999999996</v>
      </c>
      <c r="J7" s="9">
        <v>108</v>
      </c>
      <c r="K7" s="9">
        <v>101.2</v>
      </c>
      <c r="L7" s="9">
        <v>6.8</v>
      </c>
      <c r="M7" s="9">
        <v>79.7</v>
      </c>
      <c r="N7" s="9">
        <v>0.26900000000000002</v>
      </c>
      <c r="O7" s="9">
        <v>0.38800000000000001</v>
      </c>
      <c r="P7" s="9">
        <v>0.56699999999999995</v>
      </c>
      <c r="Q7" s="1"/>
      <c r="R7" s="9">
        <v>0.52300000000000002</v>
      </c>
      <c r="S7" s="9">
        <v>12.4</v>
      </c>
      <c r="T7" s="9">
        <v>16.600000000000001</v>
      </c>
      <c r="U7" s="9">
        <v>0.223</v>
      </c>
      <c r="V7" s="1"/>
      <c r="W7" s="9">
        <v>0.48799999999999999</v>
      </c>
      <c r="X7" s="9">
        <v>14.1</v>
      </c>
      <c r="Y7" s="9">
        <v>79.5</v>
      </c>
      <c r="Z7" s="9">
        <v>0.189</v>
      </c>
      <c r="AA7" s="5"/>
      <c r="AB7" s="5"/>
      <c r="AC7" s="5">
        <f t="shared" si="1"/>
        <v>2</v>
      </c>
      <c r="AD7" s="5">
        <f t="shared" si="2"/>
        <v>4</v>
      </c>
      <c r="AE7" s="5">
        <f t="shared" si="3"/>
        <v>4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9</v>
      </c>
      <c r="AJ7" s="5">
        <f t="shared" si="7"/>
        <v>4</v>
      </c>
      <c r="AK7" s="5">
        <f t="shared" si="8"/>
        <v>2</v>
      </c>
      <c r="AL7" s="5">
        <f t="shared" si="9"/>
        <v>5</v>
      </c>
      <c r="AM7" s="5">
        <f t="shared" si="10"/>
        <v>4</v>
      </c>
      <c r="AN7" s="5">
        <f t="shared" si="11"/>
        <v>3</v>
      </c>
      <c r="AO7" s="5">
        <f t="shared" si="12"/>
        <v>5</v>
      </c>
      <c r="AP7" s="5">
        <f t="shared" si="13"/>
        <v>4</v>
      </c>
      <c r="AQ7" s="5">
        <f t="shared" si="14"/>
        <v>1</v>
      </c>
      <c r="AR7" s="5"/>
      <c r="AS7" s="5">
        <f t="shared" si="15"/>
        <v>1</v>
      </c>
      <c r="AT7" s="5">
        <f t="shared" si="16"/>
        <v>1</v>
      </c>
      <c r="AU7" s="5">
        <f t="shared" si="15"/>
        <v>12</v>
      </c>
      <c r="AV7" s="5">
        <f t="shared" si="17"/>
        <v>4</v>
      </c>
      <c r="AW7" s="5"/>
      <c r="AX7" s="5">
        <f t="shared" si="18"/>
        <v>5</v>
      </c>
      <c r="AY7" s="5">
        <f t="shared" si="19"/>
        <v>9</v>
      </c>
      <c r="AZ7" s="5">
        <f t="shared" si="19"/>
        <v>1</v>
      </c>
      <c r="BA7" s="5">
        <f t="shared" si="20"/>
        <v>3</v>
      </c>
    </row>
    <row r="8" spans="1:53" x14ac:dyDescent="0.25">
      <c r="A8" s="6" t="s">
        <v>50</v>
      </c>
      <c r="B8" s="8">
        <v>29.1</v>
      </c>
      <c r="C8" s="1">
        <v>25</v>
      </c>
      <c r="D8" s="1">
        <v>15</v>
      </c>
      <c r="E8" s="1">
        <v>27</v>
      </c>
      <c r="F8" s="1">
        <v>13</v>
      </c>
      <c r="G8" s="9">
        <v>4.4800000000000004</v>
      </c>
      <c r="H8" s="9">
        <v>-0.56000000000000005</v>
      </c>
      <c r="I8" s="9">
        <v>3.92</v>
      </c>
      <c r="J8" s="9">
        <v>104.2</v>
      </c>
      <c r="K8" s="9">
        <v>98.6</v>
      </c>
      <c r="L8" s="9">
        <v>5.6</v>
      </c>
      <c r="M8" s="9">
        <v>79.400000000000006</v>
      </c>
      <c r="N8" s="9">
        <v>0.252</v>
      </c>
      <c r="O8" s="9">
        <v>0.29499999999999998</v>
      </c>
      <c r="P8" s="9">
        <v>0.52500000000000002</v>
      </c>
      <c r="Q8" s="1"/>
      <c r="R8" s="9">
        <v>0.47799999999999998</v>
      </c>
      <c r="S8" s="9">
        <v>13.5</v>
      </c>
      <c r="T8" s="9">
        <v>24.2</v>
      </c>
      <c r="U8" s="9">
        <v>0.21099999999999999</v>
      </c>
      <c r="V8" s="1"/>
      <c r="W8" s="9">
        <v>0.47699999999999998</v>
      </c>
      <c r="X8" s="9">
        <v>16.5</v>
      </c>
      <c r="Y8" s="9">
        <v>74.599999999999994</v>
      </c>
      <c r="Z8" s="9">
        <v>0.21</v>
      </c>
      <c r="AA8" s="5"/>
      <c r="AB8" s="5"/>
      <c r="AC8" s="5">
        <f t="shared" si="1"/>
        <v>3</v>
      </c>
      <c r="AD8" s="5">
        <f t="shared" si="2"/>
        <v>5</v>
      </c>
      <c r="AE8" s="5">
        <f t="shared" si="3"/>
        <v>5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8</v>
      </c>
      <c r="AJ8" s="5">
        <f t="shared" si="7"/>
        <v>5</v>
      </c>
      <c r="AK8" s="5">
        <f t="shared" si="8"/>
        <v>6</v>
      </c>
      <c r="AL8" s="5">
        <f t="shared" si="9"/>
        <v>4</v>
      </c>
      <c r="AM8" s="5">
        <f t="shared" si="10"/>
        <v>5</v>
      </c>
      <c r="AN8" s="5">
        <f t="shared" si="11"/>
        <v>4</v>
      </c>
      <c r="AO8" s="5">
        <f t="shared" si="12"/>
        <v>7</v>
      </c>
      <c r="AP8" s="5">
        <f t="shared" si="13"/>
        <v>8</v>
      </c>
      <c r="AQ8" s="5">
        <f t="shared" si="14"/>
        <v>9</v>
      </c>
      <c r="AR8" s="5"/>
      <c r="AS8" s="5">
        <f t="shared" si="15"/>
        <v>9</v>
      </c>
      <c r="AT8" s="5">
        <f t="shared" si="16"/>
        <v>2</v>
      </c>
      <c r="AU8" s="5">
        <f t="shared" si="15"/>
        <v>7</v>
      </c>
      <c r="AV8" s="5">
        <f t="shared" si="17"/>
        <v>6</v>
      </c>
      <c r="AW8" s="5"/>
      <c r="AX8" s="5">
        <f t="shared" si="18"/>
        <v>3</v>
      </c>
      <c r="AY8" s="5">
        <f t="shared" si="19"/>
        <v>3</v>
      </c>
      <c r="AZ8" s="5">
        <f t="shared" si="19"/>
        <v>9</v>
      </c>
      <c r="BA8" s="5">
        <f t="shared" si="20"/>
        <v>7</v>
      </c>
    </row>
    <row r="9" spans="1:53" x14ac:dyDescent="0.25">
      <c r="A9" s="6" t="s">
        <v>51</v>
      </c>
      <c r="B9" s="8">
        <v>25.5</v>
      </c>
      <c r="C9" s="1">
        <v>20</v>
      </c>
      <c r="D9" s="1">
        <v>20</v>
      </c>
      <c r="E9" s="1">
        <v>16</v>
      </c>
      <c r="F9" s="1">
        <v>24</v>
      </c>
      <c r="G9" s="9">
        <v>-2.68</v>
      </c>
      <c r="H9" s="9">
        <v>0.49</v>
      </c>
      <c r="I9" s="9">
        <v>-2.19</v>
      </c>
      <c r="J9" s="9">
        <v>106.1</v>
      </c>
      <c r="K9" s="9">
        <v>109.5</v>
      </c>
      <c r="L9" s="9">
        <v>-3.4</v>
      </c>
      <c r="M9" s="9">
        <v>79.8</v>
      </c>
      <c r="N9" s="9">
        <v>0.25</v>
      </c>
      <c r="O9" s="9">
        <v>0.377</v>
      </c>
      <c r="P9" s="9">
        <v>0.55900000000000005</v>
      </c>
      <c r="Q9" s="1"/>
      <c r="R9" s="9">
        <v>0.52300000000000002</v>
      </c>
      <c r="S9" s="9">
        <v>15.7</v>
      </c>
      <c r="T9" s="9">
        <v>24.6</v>
      </c>
      <c r="U9" s="9">
        <v>0.19400000000000001</v>
      </c>
      <c r="V9" s="1"/>
      <c r="W9" s="9">
        <v>0.50700000000000001</v>
      </c>
      <c r="X9" s="9">
        <v>12.8</v>
      </c>
      <c r="Y9" s="9">
        <v>76.7</v>
      </c>
      <c r="Z9" s="9">
        <v>0.22800000000000001</v>
      </c>
      <c r="AA9" s="5"/>
      <c r="AB9" s="5"/>
      <c r="AC9" s="5">
        <f t="shared" si="1"/>
        <v>12</v>
      </c>
      <c r="AD9" s="5">
        <f t="shared" si="2"/>
        <v>6</v>
      </c>
      <c r="AE9" s="5">
        <f t="shared" si="3"/>
        <v>6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4</v>
      </c>
      <c r="AJ9" s="5">
        <f t="shared" si="7"/>
        <v>6</v>
      </c>
      <c r="AK9" s="5">
        <f t="shared" si="8"/>
        <v>3</v>
      </c>
      <c r="AL9" s="5">
        <f t="shared" si="9"/>
        <v>11</v>
      </c>
      <c r="AM9" s="5">
        <f t="shared" si="10"/>
        <v>6</v>
      </c>
      <c r="AN9" s="5">
        <f t="shared" si="11"/>
        <v>2</v>
      </c>
      <c r="AO9" s="5">
        <f t="shared" si="12"/>
        <v>9</v>
      </c>
      <c r="AP9" s="5">
        <f t="shared" si="13"/>
        <v>5</v>
      </c>
      <c r="AQ9" s="5">
        <f t="shared" si="14"/>
        <v>3</v>
      </c>
      <c r="AR9" s="5"/>
      <c r="AS9" s="5">
        <f t="shared" si="15"/>
        <v>1</v>
      </c>
      <c r="AT9" s="5">
        <f t="shared" si="16"/>
        <v>9</v>
      </c>
      <c r="AU9" s="5">
        <f t="shared" si="15"/>
        <v>6</v>
      </c>
      <c r="AV9" s="5">
        <f t="shared" si="17"/>
        <v>9</v>
      </c>
      <c r="AW9" s="5"/>
      <c r="AX9" s="5">
        <f t="shared" si="18"/>
        <v>10</v>
      </c>
      <c r="AY9" s="5">
        <f t="shared" si="19"/>
        <v>12</v>
      </c>
      <c r="AZ9" s="5">
        <f t="shared" si="19"/>
        <v>6</v>
      </c>
      <c r="BA9" s="5">
        <f t="shared" si="20"/>
        <v>9</v>
      </c>
    </row>
    <row r="10" spans="1:53" x14ac:dyDescent="0.25">
      <c r="A10" s="6" t="s">
        <v>52</v>
      </c>
      <c r="B10" s="8">
        <v>27.7</v>
      </c>
      <c r="C10" s="1">
        <v>15</v>
      </c>
      <c r="D10" s="1">
        <v>25</v>
      </c>
      <c r="E10" s="1">
        <v>15</v>
      </c>
      <c r="F10" s="1">
        <v>25</v>
      </c>
      <c r="G10" s="9">
        <v>-2.75</v>
      </c>
      <c r="H10" s="9">
        <v>0.36</v>
      </c>
      <c r="I10" s="9">
        <v>-2.39</v>
      </c>
      <c r="J10" s="9">
        <v>99</v>
      </c>
      <c r="K10" s="9">
        <v>102.5</v>
      </c>
      <c r="L10" s="9">
        <v>-3.5</v>
      </c>
      <c r="M10" s="9">
        <v>77.099999999999994</v>
      </c>
      <c r="N10" s="9">
        <v>0.29399999999999998</v>
      </c>
      <c r="O10" s="9">
        <v>0.28499999999999998</v>
      </c>
      <c r="P10" s="9">
        <v>0.501</v>
      </c>
      <c r="Q10" s="1"/>
      <c r="R10" s="9">
        <v>0.45200000000000001</v>
      </c>
      <c r="S10" s="9">
        <v>14</v>
      </c>
      <c r="T10" s="9">
        <v>25.4</v>
      </c>
      <c r="U10" s="9">
        <v>0.22700000000000001</v>
      </c>
      <c r="V10" s="1"/>
      <c r="W10" s="9">
        <v>0.48799999999999999</v>
      </c>
      <c r="X10" s="9">
        <v>14.3</v>
      </c>
      <c r="Y10" s="9">
        <v>78.3</v>
      </c>
      <c r="Z10" s="9">
        <v>0.20799999999999999</v>
      </c>
      <c r="AA10" s="5"/>
      <c r="AB10" s="5"/>
      <c r="AC10" s="5">
        <f t="shared" si="1"/>
        <v>7</v>
      </c>
      <c r="AD10" s="5">
        <f t="shared" si="2"/>
        <v>8</v>
      </c>
      <c r="AE10" s="5">
        <f t="shared" si="3"/>
        <v>8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6</v>
      </c>
      <c r="AJ10" s="5">
        <f t="shared" si="7"/>
        <v>7</v>
      </c>
      <c r="AK10" s="5">
        <f t="shared" si="8"/>
        <v>11</v>
      </c>
      <c r="AL10" s="5">
        <f t="shared" si="9"/>
        <v>6</v>
      </c>
      <c r="AM10" s="5">
        <f t="shared" si="10"/>
        <v>7</v>
      </c>
      <c r="AN10" s="5">
        <f t="shared" si="11"/>
        <v>11</v>
      </c>
      <c r="AO10" s="5">
        <f t="shared" si="12"/>
        <v>3</v>
      </c>
      <c r="AP10" s="5">
        <f t="shared" si="13"/>
        <v>9</v>
      </c>
      <c r="AQ10" s="5">
        <f t="shared" si="14"/>
        <v>11</v>
      </c>
      <c r="AR10" s="5"/>
      <c r="AS10" s="5">
        <f t="shared" si="15"/>
        <v>12</v>
      </c>
      <c r="AT10" s="5">
        <f t="shared" si="16"/>
        <v>4</v>
      </c>
      <c r="AU10" s="5">
        <f t="shared" si="15"/>
        <v>3</v>
      </c>
      <c r="AV10" s="5">
        <f t="shared" si="17"/>
        <v>2</v>
      </c>
      <c r="AW10" s="5"/>
      <c r="AX10" s="5">
        <f t="shared" si="18"/>
        <v>5</v>
      </c>
      <c r="AY10" s="5">
        <f t="shared" si="19"/>
        <v>6</v>
      </c>
      <c r="AZ10" s="5">
        <f t="shared" si="19"/>
        <v>3</v>
      </c>
      <c r="BA10" s="5">
        <f t="shared" si="20"/>
        <v>6</v>
      </c>
    </row>
    <row r="11" spans="1:53" x14ac:dyDescent="0.25">
      <c r="A11" s="6" t="s">
        <v>42</v>
      </c>
      <c r="B11" s="8">
        <v>27.3</v>
      </c>
      <c r="C11" s="1">
        <v>14</v>
      </c>
      <c r="D11" s="1">
        <v>26</v>
      </c>
      <c r="E11" s="1">
        <v>15</v>
      </c>
      <c r="F11" s="1">
        <v>25</v>
      </c>
      <c r="G11" s="9">
        <v>-2.98</v>
      </c>
      <c r="H11" s="9">
        <v>0.54</v>
      </c>
      <c r="I11" s="9">
        <v>-2.44</v>
      </c>
      <c r="J11" s="9">
        <v>99.7</v>
      </c>
      <c r="K11" s="9">
        <v>103.4</v>
      </c>
      <c r="L11" s="9">
        <v>-3.7</v>
      </c>
      <c r="M11" s="9">
        <v>79.099999999999994</v>
      </c>
      <c r="N11" s="9">
        <v>0.224</v>
      </c>
      <c r="O11" s="9">
        <v>0.39700000000000002</v>
      </c>
      <c r="P11" s="9">
        <v>0.53800000000000003</v>
      </c>
      <c r="Q11" s="1"/>
      <c r="R11" s="9">
        <v>0.50600000000000001</v>
      </c>
      <c r="S11" s="9">
        <v>17</v>
      </c>
      <c r="T11" s="9">
        <v>20.6</v>
      </c>
      <c r="U11" s="9">
        <v>0.17199999999999999</v>
      </c>
      <c r="V11" s="1"/>
      <c r="W11" s="9">
        <v>0.502</v>
      </c>
      <c r="X11" s="9">
        <v>16.7</v>
      </c>
      <c r="Y11" s="9">
        <v>75.2</v>
      </c>
      <c r="Z11" s="9">
        <v>0.24099999999999999</v>
      </c>
      <c r="AA11" s="5"/>
      <c r="AB11" s="5"/>
      <c r="AC11" s="5">
        <f t="shared" si="1"/>
        <v>8</v>
      </c>
      <c r="AD11" s="5">
        <f t="shared" si="2"/>
        <v>9</v>
      </c>
      <c r="AE11" s="5">
        <f t="shared" si="3"/>
        <v>9</v>
      </c>
      <c r="AF11" s="5">
        <f t="shared" si="0"/>
        <v>7</v>
      </c>
      <c r="AG11" s="5">
        <f t="shared" si="4"/>
        <v>7</v>
      </c>
      <c r="AH11" s="5">
        <f t="shared" si="5"/>
        <v>8</v>
      </c>
      <c r="AI11" s="5">
        <f t="shared" si="6"/>
        <v>3</v>
      </c>
      <c r="AJ11" s="5">
        <f t="shared" si="7"/>
        <v>8</v>
      </c>
      <c r="AK11" s="5">
        <f t="shared" si="8"/>
        <v>9</v>
      </c>
      <c r="AL11" s="5">
        <f t="shared" si="9"/>
        <v>7</v>
      </c>
      <c r="AM11" s="5">
        <f t="shared" si="10"/>
        <v>8</v>
      </c>
      <c r="AN11" s="5">
        <f t="shared" si="11"/>
        <v>6</v>
      </c>
      <c r="AO11" s="5">
        <f t="shared" si="12"/>
        <v>12</v>
      </c>
      <c r="AP11" s="5">
        <f t="shared" si="13"/>
        <v>2</v>
      </c>
      <c r="AQ11" s="5">
        <f t="shared" si="14"/>
        <v>6</v>
      </c>
      <c r="AR11" s="5"/>
      <c r="AS11" s="5">
        <f t="shared" si="15"/>
        <v>5</v>
      </c>
      <c r="AT11" s="5">
        <f t="shared" si="16"/>
        <v>12</v>
      </c>
      <c r="AU11" s="5">
        <f t="shared" si="15"/>
        <v>10</v>
      </c>
      <c r="AV11" s="5">
        <f t="shared" si="17"/>
        <v>12</v>
      </c>
      <c r="AW11" s="5"/>
      <c r="AX11" s="5">
        <f t="shared" si="18"/>
        <v>9</v>
      </c>
      <c r="AY11" s="5">
        <f t="shared" si="19"/>
        <v>2</v>
      </c>
      <c r="AZ11" s="5">
        <f t="shared" si="19"/>
        <v>8</v>
      </c>
      <c r="BA11" s="5">
        <f t="shared" si="20"/>
        <v>12</v>
      </c>
    </row>
    <row r="12" spans="1:53" x14ac:dyDescent="0.25">
      <c r="A12" s="6" t="s">
        <v>53</v>
      </c>
      <c r="B12" s="8">
        <v>30.4</v>
      </c>
      <c r="C12" s="1">
        <v>19</v>
      </c>
      <c r="D12" s="1">
        <v>21</v>
      </c>
      <c r="E12" s="1">
        <v>15</v>
      </c>
      <c r="F12" s="1">
        <v>25</v>
      </c>
      <c r="G12" s="9">
        <v>-3.3</v>
      </c>
      <c r="H12" s="9">
        <v>0.33</v>
      </c>
      <c r="I12" s="9">
        <v>-2.97</v>
      </c>
      <c r="J12" s="9">
        <v>103.6</v>
      </c>
      <c r="K12" s="9">
        <v>107.8</v>
      </c>
      <c r="L12" s="9">
        <v>-4.2</v>
      </c>
      <c r="M12" s="9">
        <v>78.2</v>
      </c>
      <c r="N12" s="9">
        <v>0.27800000000000002</v>
      </c>
      <c r="O12" s="9">
        <v>0.39400000000000002</v>
      </c>
      <c r="P12" s="9">
        <v>0.54700000000000004</v>
      </c>
      <c r="Q12" s="1"/>
      <c r="R12" s="9">
        <v>0.503</v>
      </c>
      <c r="S12" s="9">
        <v>15.1</v>
      </c>
      <c r="T12" s="9">
        <v>20</v>
      </c>
      <c r="U12" s="9">
        <v>0.222</v>
      </c>
      <c r="V12" s="1"/>
      <c r="W12" s="9">
        <v>0.496</v>
      </c>
      <c r="X12" s="9">
        <v>13.1</v>
      </c>
      <c r="Y12" s="9">
        <v>71.599999999999994</v>
      </c>
      <c r="Z12" s="9">
        <v>0.189</v>
      </c>
      <c r="AA12" s="5"/>
      <c r="AB12" s="5"/>
      <c r="AC12" s="5">
        <f t="shared" si="1"/>
        <v>1</v>
      </c>
      <c r="AD12" s="5">
        <f t="shared" si="2"/>
        <v>7</v>
      </c>
      <c r="AE12" s="5">
        <f t="shared" si="3"/>
        <v>7</v>
      </c>
      <c r="AF12" s="5">
        <f t="shared" si="0"/>
        <v>7</v>
      </c>
      <c r="AG12" s="5">
        <f t="shared" si="4"/>
        <v>7</v>
      </c>
      <c r="AH12" s="5">
        <f t="shared" si="5"/>
        <v>9</v>
      </c>
      <c r="AI12" s="5">
        <f t="shared" si="6"/>
        <v>7</v>
      </c>
      <c r="AJ12" s="5">
        <f t="shared" si="7"/>
        <v>9</v>
      </c>
      <c r="AK12" s="5">
        <f t="shared" si="8"/>
        <v>8</v>
      </c>
      <c r="AL12" s="5">
        <f t="shared" si="9"/>
        <v>10</v>
      </c>
      <c r="AM12" s="5">
        <f t="shared" si="10"/>
        <v>9</v>
      </c>
      <c r="AN12" s="5">
        <f t="shared" si="11"/>
        <v>7</v>
      </c>
      <c r="AO12" s="5">
        <f t="shared" si="12"/>
        <v>4</v>
      </c>
      <c r="AP12" s="5">
        <f t="shared" si="13"/>
        <v>3</v>
      </c>
      <c r="AQ12" s="5">
        <f t="shared" si="14"/>
        <v>5</v>
      </c>
      <c r="AR12" s="5"/>
      <c r="AS12" s="5">
        <f t="shared" ref="AS12:AS15" si="21">RANK(R12,R$4:R$18,0)</f>
        <v>6</v>
      </c>
      <c r="AT12" s="5">
        <f t="shared" si="16"/>
        <v>7</v>
      </c>
      <c r="AU12" s="5">
        <f t="shared" ref="AU12:AU15" si="22">RANK(T12,T$4:T$18,0)</f>
        <v>11</v>
      </c>
      <c r="AV12" s="5">
        <f t="shared" si="17"/>
        <v>5</v>
      </c>
      <c r="AW12" s="5"/>
      <c r="AX12" s="5">
        <f t="shared" si="18"/>
        <v>7</v>
      </c>
      <c r="AY12" s="5">
        <f t="shared" si="19"/>
        <v>11</v>
      </c>
      <c r="AZ12" s="5">
        <f t="shared" si="19"/>
        <v>12</v>
      </c>
      <c r="BA12" s="5">
        <f t="shared" si="20"/>
        <v>3</v>
      </c>
    </row>
    <row r="13" spans="1:53" x14ac:dyDescent="0.25">
      <c r="A13" s="6" t="s">
        <v>43</v>
      </c>
      <c r="B13" s="8">
        <v>26.1</v>
      </c>
      <c r="C13" s="1">
        <v>13</v>
      </c>
      <c r="D13" s="1">
        <v>27</v>
      </c>
      <c r="E13" s="1">
        <v>12</v>
      </c>
      <c r="F13" s="1">
        <v>28</v>
      </c>
      <c r="G13" s="9">
        <v>-5.13</v>
      </c>
      <c r="H13" s="9">
        <v>0.46</v>
      </c>
      <c r="I13" s="9">
        <v>-4.67</v>
      </c>
      <c r="J13" s="9">
        <v>99.1</v>
      </c>
      <c r="K13" s="9">
        <v>105.6</v>
      </c>
      <c r="L13" s="9">
        <v>-6.5</v>
      </c>
      <c r="M13" s="9">
        <v>78.2</v>
      </c>
      <c r="N13" s="9">
        <v>0.252</v>
      </c>
      <c r="O13" s="9">
        <v>0.21199999999999999</v>
      </c>
      <c r="P13" s="9">
        <v>0.495</v>
      </c>
      <c r="Q13" s="1"/>
      <c r="R13" s="9">
        <v>0.45700000000000002</v>
      </c>
      <c r="S13" s="9">
        <v>14.3</v>
      </c>
      <c r="T13" s="9">
        <v>29.5</v>
      </c>
      <c r="U13" s="9">
        <v>0.187</v>
      </c>
      <c r="V13" s="1"/>
      <c r="W13" s="9">
        <v>0.499</v>
      </c>
      <c r="X13" s="9">
        <v>14.2</v>
      </c>
      <c r="Y13" s="9">
        <v>76.8</v>
      </c>
      <c r="Z13" s="9">
        <v>0.22800000000000001</v>
      </c>
      <c r="AA13" s="5"/>
      <c r="AB13" s="5"/>
      <c r="AC13" s="5">
        <f t="shared" si="1"/>
        <v>11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5</v>
      </c>
      <c r="AJ13" s="5">
        <f t="shared" si="7"/>
        <v>10</v>
      </c>
      <c r="AK13" s="5">
        <f t="shared" si="8"/>
        <v>10</v>
      </c>
      <c r="AL13" s="5">
        <f t="shared" si="9"/>
        <v>8</v>
      </c>
      <c r="AM13" s="5">
        <f t="shared" si="10"/>
        <v>10</v>
      </c>
      <c r="AN13" s="5">
        <f t="shared" si="11"/>
        <v>7</v>
      </c>
      <c r="AO13" s="5">
        <f t="shared" si="12"/>
        <v>7</v>
      </c>
      <c r="AP13" s="5">
        <f t="shared" si="13"/>
        <v>12</v>
      </c>
      <c r="AQ13" s="5">
        <f t="shared" si="14"/>
        <v>12</v>
      </c>
      <c r="AR13" s="5"/>
      <c r="AS13" s="5">
        <f t="shared" si="21"/>
        <v>11</v>
      </c>
      <c r="AT13" s="5">
        <f t="shared" si="16"/>
        <v>6</v>
      </c>
      <c r="AU13" s="5">
        <f t="shared" si="22"/>
        <v>2</v>
      </c>
      <c r="AV13" s="5">
        <f t="shared" si="17"/>
        <v>10</v>
      </c>
      <c r="AW13" s="5"/>
      <c r="AX13" s="5">
        <f t="shared" si="18"/>
        <v>8</v>
      </c>
      <c r="AY13" s="5">
        <f t="shared" si="19"/>
        <v>7</v>
      </c>
      <c r="AZ13" s="5">
        <f t="shared" si="19"/>
        <v>5</v>
      </c>
      <c r="BA13" s="5">
        <f t="shared" si="20"/>
        <v>9</v>
      </c>
    </row>
    <row r="14" spans="1:53" x14ac:dyDescent="0.25">
      <c r="A14" s="6" t="s">
        <v>44</v>
      </c>
      <c r="B14" s="8">
        <v>27</v>
      </c>
      <c r="C14" s="1">
        <v>8</v>
      </c>
      <c r="D14" s="1">
        <v>32</v>
      </c>
      <c r="E14" s="1">
        <v>9</v>
      </c>
      <c r="F14" s="1">
        <v>31</v>
      </c>
      <c r="G14" s="9">
        <v>-7.23</v>
      </c>
      <c r="H14" s="9">
        <v>0.92</v>
      </c>
      <c r="I14" s="9">
        <v>-6.3</v>
      </c>
      <c r="J14" s="9">
        <v>98.6</v>
      </c>
      <c r="K14" s="9">
        <v>107.7</v>
      </c>
      <c r="L14" s="9">
        <v>-9.1</v>
      </c>
      <c r="M14" s="9">
        <v>79.2</v>
      </c>
      <c r="N14" s="9">
        <v>0.29499999999999998</v>
      </c>
      <c r="O14" s="9">
        <v>0.34</v>
      </c>
      <c r="P14" s="9">
        <v>0.52300000000000002</v>
      </c>
      <c r="Q14" s="1"/>
      <c r="R14" s="9">
        <v>0.47799999999999998</v>
      </c>
      <c r="S14" s="9">
        <v>16.600000000000001</v>
      </c>
      <c r="T14" s="9">
        <v>22</v>
      </c>
      <c r="U14" s="9">
        <v>0.22600000000000001</v>
      </c>
      <c r="V14" s="1"/>
      <c r="W14" s="9">
        <v>0.52200000000000002</v>
      </c>
      <c r="X14" s="9">
        <v>14.2</v>
      </c>
      <c r="Y14" s="9">
        <v>76.099999999999994</v>
      </c>
      <c r="Z14" s="9">
        <v>0.21099999999999999</v>
      </c>
      <c r="AA14" s="5"/>
      <c r="AB14" s="5"/>
      <c r="AC14" s="5">
        <f t="shared" si="1"/>
        <v>9</v>
      </c>
      <c r="AD14" s="5">
        <f t="shared" si="2"/>
        <v>12</v>
      </c>
      <c r="AE14" s="5">
        <f t="shared" si="3"/>
        <v>12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1</v>
      </c>
      <c r="AJ14" s="5">
        <f t="shared" si="7"/>
        <v>11</v>
      </c>
      <c r="AK14" s="5">
        <f t="shared" si="8"/>
        <v>12</v>
      </c>
      <c r="AL14" s="5">
        <f t="shared" si="9"/>
        <v>9</v>
      </c>
      <c r="AM14" s="5">
        <f t="shared" si="10"/>
        <v>11</v>
      </c>
      <c r="AN14" s="5">
        <f t="shared" si="11"/>
        <v>5</v>
      </c>
      <c r="AO14" s="5">
        <f t="shared" si="12"/>
        <v>2</v>
      </c>
      <c r="AP14" s="5">
        <f t="shared" si="13"/>
        <v>7</v>
      </c>
      <c r="AQ14" s="5">
        <f t="shared" si="14"/>
        <v>10</v>
      </c>
      <c r="AR14" s="5"/>
      <c r="AS14" s="5">
        <f t="shared" si="21"/>
        <v>9</v>
      </c>
      <c r="AT14" s="5">
        <f t="shared" si="16"/>
        <v>11</v>
      </c>
      <c r="AU14" s="5">
        <f t="shared" si="22"/>
        <v>9</v>
      </c>
      <c r="AV14" s="5">
        <f t="shared" si="17"/>
        <v>3</v>
      </c>
      <c r="AW14" s="5"/>
      <c r="AX14" s="5">
        <f t="shared" si="18"/>
        <v>11</v>
      </c>
      <c r="AY14" s="5">
        <f t="shared" si="19"/>
        <v>7</v>
      </c>
      <c r="AZ14" s="5">
        <f t="shared" si="19"/>
        <v>7</v>
      </c>
      <c r="BA14" s="5">
        <f t="shared" si="20"/>
        <v>8</v>
      </c>
    </row>
    <row r="15" spans="1:53" x14ac:dyDescent="0.25">
      <c r="A15" s="6" t="s">
        <v>45</v>
      </c>
      <c r="B15" s="8">
        <v>26.8</v>
      </c>
      <c r="C15" s="1">
        <v>9</v>
      </c>
      <c r="D15" s="1">
        <v>31</v>
      </c>
      <c r="E15" s="1">
        <v>9</v>
      </c>
      <c r="F15" s="1">
        <v>31</v>
      </c>
      <c r="G15" s="9">
        <v>-7.93</v>
      </c>
      <c r="H15" s="9">
        <v>0.75</v>
      </c>
      <c r="I15" s="9">
        <v>-7.18</v>
      </c>
      <c r="J15" s="9">
        <v>104.2</v>
      </c>
      <c r="K15" s="9">
        <v>114</v>
      </c>
      <c r="L15" s="9">
        <v>-9.8000000000000007</v>
      </c>
      <c r="M15" s="9">
        <v>80.099999999999994</v>
      </c>
      <c r="N15" s="9">
        <v>0.26300000000000001</v>
      </c>
      <c r="O15" s="9">
        <v>0.27</v>
      </c>
      <c r="P15" s="9">
        <v>0.53100000000000003</v>
      </c>
      <c r="Q15" s="1"/>
      <c r="R15" s="9">
        <v>0.49</v>
      </c>
      <c r="S15" s="9">
        <v>15.8</v>
      </c>
      <c r="T15" s="9">
        <v>30.2</v>
      </c>
      <c r="U15" s="9">
        <v>0.20599999999999999</v>
      </c>
      <c r="V15" s="1"/>
      <c r="W15" s="9">
        <v>0.53600000000000003</v>
      </c>
      <c r="X15" s="9">
        <v>13.8</v>
      </c>
      <c r="Y15" s="9">
        <v>73.400000000000006</v>
      </c>
      <c r="Z15" s="9">
        <v>0.23599999999999999</v>
      </c>
      <c r="AA15" s="5"/>
      <c r="AB15" s="5"/>
      <c r="AC15" s="5">
        <f t="shared" si="1"/>
        <v>10</v>
      </c>
      <c r="AD15" s="5">
        <f t="shared" si="2"/>
        <v>11</v>
      </c>
      <c r="AE15" s="5">
        <f t="shared" si="3"/>
        <v>11</v>
      </c>
      <c r="AF15" s="5">
        <f t="shared" si="0"/>
        <v>11</v>
      </c>
      <c r="AG15" s="5">
        <f t="shared" si="4"/>
        <v>11</v>
      </c>
      <c r="AH15" s="5">
        <f t="shared" si="5"/>
        <v>12</v>
      </c>
      <c r="AI15" s="5">
        <f t="shared" si="6"/>
        <v>2</v>
      </c>
      <c r="AJ15" s="5">
        <f t="shared" si="7"/>
        <v>12</v>
      </c>
      <c r="AK15" s="5">
        <f t="shared" si="8"/>
        <v>6</v>
      </c>
      <c r="AL15" s="5">
        <f t="shared" si="9"/>
        <v>12</v>
      </c>
      <c r="AM15" s="5">
        <f t="shared" si="10"/>
        <v>12</v>
      </c>
      <c r="AN15" s="5">
        <f t="shared" si="11"/>
        <v>1</v>
      </c>
      <c r="AO15" s="5">
        <f t="shared" si="12"/>
        <v>6</v>
      </c>
      <c r="AP15" s="5">
        <f t="shared" si="13"/>
        <v>11</v>
      </c>
      <c r="AQ15" s="5">
        <f t="shared" si="14"/>
        <v>8</v>
      </c>
      <c r="AR15" s="5"/>
      <c r="AS15" s="5">
        <f t="shared" si="21"/>
        <v>7</v>
      </c>
      <c r="AT15" s="5">
        <f t="shared" si="16"/>
        <v>10</v>
      </c>
      <c r="AU15" s="5">
        <f t="shared" si="22"/>
        <v>1</v>
      </c>
      <c r="AV15" s="5">
        <f t="shared" si="17"/>
        <v>7</v>
      </c>
      <c r="AW15" s="5"/>
      <c r="AX15" s="5">
        <f t="shared" si="18"/>
        <v>12</v>
      </c>
      <c r="AY15" s="5">
        <f t="shared" si="19"/>
        <v>10</v>
      </c>
      <c r="AZ15" s="5">
        <f t="shared" si="19"/>
        <v>11</v>
      </c>
      <c r="BA15" s="5">
        <f t="shared" si="20"/>
        <v>11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27.900000000000002</v>
      </c>
      <c r="C24" s="9">
        <f t="shared" ref="C24:Z24" si="23">AVERAGE(C4:C22)</f>
        <v>20</v>
      </c>
      <c r="D24" s="9">
        <f t="shared" si="23"/>
        <v>20</v>
      </c>
      <c r="E24" s="9">
        <f t="shared" si="23"/>
        <v>20.083333333333332</v>
      </c>
      <c r="F24" s="9">
        <f t="shared" si="23"/>
        <v>19.916666666666668</v>
      </c>
      <c r="G24" s="9">
        <f t="shared" si="23"/>
        <v>-8.333333333331675E-4</v>
      </c>
      <c r="H24" s="9">
        <f t="shared" si="23"/>
        <v>8.3333333333328785E-4</v>
      </c>
      <c r="I24" s="9">
        <f t="shared" si="23"/>
        <v>0</v>
      </c>
      <c r="J24" s="9">
        <f t="shared" si="23"/>
        <v>103.47500000000001</v>
      </c>
      <c r="K24" s="9">
        <f t="shared" si="23"/>
        <v>103.425</v>
      </c>
      <c r="L24" s="9">
        <f t="shared" si="23"/>
        <v>4.9999999999999968E-2</v>
      </c>
      <c r="M24" s="9">
        <f t="shared" si="23"/>
        <v>78.533333333333346</v>
      </c>
      <c r="N24" s="9">
        <f t="shared" si="23"/>
        <v>0.26449999999999996</v>
      </c>
      <c r="O24" s="9">
        <f t="shared" si="23"/>
        <v>0.33533333333333343</v>
      </c>
      <c r="P24" s="9">
        <f t="shared" si="23"/>
        <v>0.53608333333333336</v>
      </c>
      <c r="Q24" s="9"/>
      <c r="R24" s="9">
        <f t="shared" si="23"/>
        <v>0.49474999999999997</v>
      </c>
      <c r="S24" s="9">
        <f t="shared" si="23"/>
        <v>14.808333333333335</v>
      </c>
      <c r="T24" s="9">
        <f t="shared" si="23"/>
        <v>23.808333333333334</v>
      </c>
      <c r="U24" s="9">
        <f t="shared" si="23"/>
        <v>0.20766666666666667</v>
      </c>
      <c r="V24" s="9"/>
      <c r="W24" s="9">
        <f t="shared" si="23"/>
        <v>0.49441666666666667</v>
      </c>
      <c r="X24" s="9">
        <f t="shared" si="23"/>
        <v>14.858333333333333</v>
      </c>
      <c r="Y24" s="9">
        <f t="shared" si="23"/>
        <v>76.150000000000006</v>
      </c>
      <c r="Z24" s="9">
        <f t="shared" si="23"/>
        <v>0.20766666666666667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ht="26.25" x14ac:dyDescent="0.4">
      <c r="A2" s="11"/>
      <c r="B2" s="14"/>
      <c r="C2" s="14"/>
      <c r="D2" s="14"/>
      <c r="E2" s="14"/>
      <c r="F2" s="14"/>
      <c r="G2" s="18" t="s">
        <v>37</v>
      </c>
      <c r="H2" s="18"/>
      <c r="I2" s="18"/>
      <c r="J2" s="18"/>
      <c r="K2" s="18"/>
      <c r="L2" s="18"/>
      <c r="M2" s="14"/>
      <c r="N2" s="18" t="s">
        <v>38</v>
      </c>
      <c r="O2" s="18"/>
      <c r="P2" s="18"/>
      <c r="Q2" s="18"/>
      <c r="R2" s="18"/>
      <c r="S2" s="18"/>
      <c r="T2" s="14"/>
      <c r="U2" s="18" t="s">
        <v>39</v>
      </c>
      <c r="V2" s="18"/>
      <c r="W2" s="14"/>
      <c r="X2" s="18" t="s">
        <v>40</v>
      </c>
      <c r="Y2" s="18"/>
      <c r="AB2" s="16"/>
      <c r="AC2" s="16"/>
      <c r="AD2" s="18" t="s">
        <v>37</v>
      </c>
      <c r="AE2" s="18"/>
      <c r="AF2" s="18"/>
      <c r="AG2" s="18"/>
      <c r="AH2" s="18"/>
      <c r="AI2" s="18"/>
      <c r="AJ2" s="12"/>
      <c r="AK2" s="18" t="s">
        <v>38</v>
      </c>
      <c r="AL2" s="18"/>
      <c r="AM2" s="18"/>
      <c r="AN2" s="18"/>
      <c r="AO2" s="18"/>
      <c r="AP2" s="18"/>
      <c r="AQ2" s="12"/>
      <c r="AR2" s="18" t="s">
        <v>39</v>
      </c>
      <c r="AS2" s="18"/>
      <c r="AT2" s="16"/>
      <c r="AU2" s="18" t="s">
        <v>40</v>
      </c>
      <c r="AV2" s="18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52</v>
      </c>
      <c r="B4" s="7">
        <v>40</v>
      </c>
      <c r="C4" s="1">
        <v>8074</v>
      </c>
      <c r="D4" s="9">
        <v>0.40799999999999997</v>
      </c>
      <c r="E4" s="9">
        <v>12.8</v>
      </c>
      <c r="F4" s="9"/>
      <c r="G4" s="9">
        <v>0.71499999999999997</v>
      </c>
      <c r="H4" s="9">
        <v>0.22800000000000001</v>
      </c>
      <c r="I4" s="9">
        <v>0.22500000000000001</v>
      </c>
      <c r="J4" s="9">
        <v>0.13600000000000001</v>
      </c>
      <c r="K4" s="9">
        <v>0.124</v>
      </c>
      <c r="L4" s="9">
        <v>0.28499999999999998</v>
      </c>
      <c r="M4" s="9"/>
      <c r="N4" s="9">
        <v>0.44800000000000001</v>
      </c>
      <c r="O4" s="9">
        <v>0.61599999999999999</v>
      </c>
      <c r="P4" s="9">
        <v>0.375</v>
      </c>
      <c r="Q4" s="9">
        <v>0.33700000000000002</v>
      </c>
      <c r="R4" s="9">
        <v>0.39500000000000002</v>
      </c>
      <c r="S4" s="9">
        <v>0.308</v>
      </c>
      <c r="T4" s="9"/>
      <c r="U4" s="9">
        <v>0.59899999999999998</v>
      </c>
      <c r="V4" s="9">
        <v>0.89100000000000001</v>
      </c>
      <c r="W4" s="9"/>
      <c r="X4" s="10">
        <v>0.21</v>
      </c>
      <c r="Y4" s="10">
        <v>0.28799999999999998</v>
      </c>
      <c r="Z4" s="5"/>
      <c r="AA4" s="5"/>
      <c r="AB4" s="5">
        <f t="shared" ref="AB4:AB15" si="0">RANK(D4,D$4:D$18,0)</f>
        <v>12</v>
      </c>
      <c r="AC4" s="5"/>
      <c r="AD4" s="5">
        <f t="shared" ref="AD4:AD15" si="1">RANK(G4,G$4:G$18,0)</f>
        <v>4</v>
      </c>
      <c r="AE4" s="5">
        <f t="shared" ref="AE4:AE15" si="2">RANK(H4,H$4:H$18,0)</f>
        <v>6</v>
      </c>
      <c r="AF4" s="5">
        <f t="shared" ref="AF4:AF15" si="3">RANK(I4,I$4:I$18,0)</f>
        <v>10</v>
      </c>
      <c r="AG4" s="5">
        <f t="shared" ref="AG4:AG15" si="4">RANK(J4,J$4:J$18,0)</f>
        <v>1</v>
      </c>
      <c r="AH4" s="5">
        <f t="shared" ref="AH4:AH15" si="5">RANK(K4,K$4:K$18,0)</f>
        <v>2</v>
      </c>
      <c r="AI4" s="5">
        <f t="shared" ref="AI4:AI15" si="6">RANK(L4,L$4:L$18,0)</f>
        <v>9</v>
      </c>
      <c r="AJ4" s="5"/>
      <c r="AK4" s="5">
        <f t="shared" ref="AK4:AK15" si="7">RANK(N4,N$4:N$18,0)</f>
        <v>12</v>
      </c>
      <c r="AL4" s="5">
        <f t="shared" ref="AL4:AL15" si="8">RANK(O4,O$4:O$18,0)</f>
        <v>11</v>
      </c>
      <c r="AM4" s="5">
        <f t="shared" ref="AM4:AM15" si="9">RANK(P4,P$4:P$18,0)</f>
        <v>12</v>
      </c>
      <c r="AN4" s="5">
        <f t="shared" ref="AN4:AN15" si="10">RANK(Q4,Q$4:Q$18,0)</f>
        <v>10</v>
      </c>
      <c r="AO4" s="5">
        <f t="shared" ref="AO4:AO15" si="11">RANK(R4,R$4:R$18,0)</f>
        <v>4</v>
      </c>
      <c r="AP4" s="5">
        <f t="shared" ref="AP4:AP15" si="12">RANK(S4,S$4:S$18,0)</f>
        <v>11</v>
      </c>
      <c r="AQ4" s="5"/>
      <c r="AR4" s="5">
        <f t="shared" ref="AR4:AR15" si="13">RANK(U4,U$4:U$18,0)</f>
        <v>11</v>
      </c>
      <c r="AS4" s="5">
        <f t="shared" ref="AS4:AS15" si="14">RANK(V4,V$4:V$18,0)</f>
        <v>5</v>
      </c>
      <c r="AT4" s="5"/>
      <c r="AU4" s="5">
        <f t="shared" ref="AU4:AU15" si="15">RANK(X4,X$4:X$18,0)</f>
        <v>2</v>
      </c>
      <c r="AV4" s="5">
        <f t="shared" ref="AV4:AV15" si="16">RANK(Y4,Y$4:Y$18,0)</f>
        <v>12</v>
      </c>
    </row>
    <row r="5" spans="1:48" x14ac:dyDescent="0.25">
      <c r="A5" s="6" t="s">
        <v>43</v>
      </c>
      <c r="B5" s="7">
        <v>40</v>
      </c>
      <c r="C5" s="1">
        <v>8000</v>
      </c>
      <c r="D5" s="9">
        <v>0.42199999999999999</v>
      </c>
      <c r="E5" s="9">
        <v>10.8</v>
      </c>
      <c r="F5" s="9"/>
      <c r="G5" s="9">
        <v>0.78800000000000003</v>
      </c>
      <c r="H5" s="9">
        <v>0.29799999999999999</v>
      </c>
      <c r="I5" s="9">
        <v>0.26200000000000001</v>
      </c>
      <c r="J5" s="9">
        <v>0.12</v>
      </c>
      <c r="K5" s="9">
        <v>0.108</v>
      </c>
      <c r="L5" s="9">
        <v>0.21199999999999999</v>
      </c>
      <c r="M5" s="9"/>
      <c r="N5" s="9">
        <v>0.44900000000000001</v>
      </c>
      <c r="O5" s="9">
        <v>0.58699999999999997</v>
      </c>
      <c r="P5" s="9">
        <v>0.377</v>
      </c>
      <c r="Q5" s="9">
        <v>0.35799999999999998</v>
      </c>
      <c r="R5" s="9">
        <v>0.34399999999999997</v>
      </c>
      <c r="S5" s="9">
        <v>0.32300000000000001</v>
      </c>
      <c r="T5" s="9"/>
      <c r="U5" s="9">
        <v>0.60599999999999998</v>
      </c>
      <c r="V5" s="9">
        <v>0.80800000000000005</v>
      </c>
      <c r="W5" s="9"/>
      <c r="X5" s="10">
        <v>0.19400000000000001</v>
      </c>
      <c r="Y5" s="10">
        <v>0.31</v>
      </c>
      <c r="Z5" s="5"/>
      <c r="AA5" s="5"/>
      <c r="AB5" s="5">
        <f t="shared" si="0"/>
        <v>11</v>
      </c>
      <c r="AC5" s="5"/>
      <c r="AD5" s="5">
        <f t="shared" si="1"/>
        <v>1</v>
      </c>
      <c r="AE5" s="5">
        <f t="shared" si="2"/>
        <v>1</v>
      </c>
      <c r="AF5" s="5">
        <f t="shared" si="3"/>
        <v>4</v>
      </c>
      <c r="AG5" s="5">
        <f t="shared" si="4"/>
        <v>4</v>
      </c>
      <c r="AH5" s="5">
        <f t="shared" si="5"/>
        <v>3</v>
      </c>
      <c r="AI5" s="5">
        <f t="shared" si="6"/>
        <v>12</v>
      </c>
      <c r="AJ5" s="5"/>
      <c r="AK5" s="5">
        <f t="shared" si="7"/>
        <v>11</v>
      </c>
      <c r="AL5" s="5">
        <f t="shared" si="8"/>
        <v>12</v>
      </c>
      <c r="AM5" s="5">
        <f t="shared" si="9"/>
        <v>11</v>
      </c>
      <c r="AN5" s="5">
        <f t="shared" si="10"/>
        <v>9</v>
      </c>
      <c r="AO5" s="5">
        <f t="shared" si="11"/>
        <v>10</v>
      </c>
      <c r="AP5" s="5">
        <f t="shared" si="12"/>
        <v>9</v>
      </c>
      <c r="AQ5" s="5"/>
      <c r="AR5" s="5">
        <f t="shared" si="13"/>
        <v>8</v>
      </c>
      <c r="AS5" s="5">
        <f t="shared" si="14"/>
        <v>10</v>
      </c>
      <c r="AT5" s="5"/>
      <c r="AU5" s="5">
        <f t="shared" si="15"/>
        <v>5</v>
      </c>
      <c r="AV5" s="5">
        <f t="shared" si="16"/>
        <v>9</v>
      </c>
    </row>
    <row r="6" spans="1:48" x14ac:dyDescent="0.25">
      <c r="A6" s="6" t="s">
        <v>47</v>
      </c>
      <c r="B6" s="7">
        <v>40</v>
      </c>
      <c r="C6" s="1">
        <v>8049</v>
      </c>
      <c r="D6" s="9">
        <v>0.44400000000000001</v>
      </c>
      <c r="E6" s="9">
        <v>11.9</v>
      </c>
      <c r="F6" s="9"/>
      <c r="G6" s="9">
        <v>0.72699999999999998</v>
      </c>
      <c r="H6" s="9">
        <v>0.26700000000000002</v>
      </c>
      <c r="I6" s="9">
        <v>0.26200000000000001</v>
      </c>
      <c r="J6" s="9">
        <v>0.11</v>
      </c>
      <c r="K6" s="9">
        <v>8.8999999999999996E-2</v>
      </c>
      <c r="L6" s="9">
        <v>0.27300000000000002</v>
      </c>
      <c r="M6" s="9"/>
      <c r="N6" s="9">
        <v>0.48699999999999999</v>
      </c>
      <c r="O6" s="9">
        <v>0.63600000000000001</v>
      </c>
      <c r="P6" s="9">
        <v>0.41599999999999998</v>
      </c>
      <c r="Q6" s="9">
        <v>0.41399999999999998</v>
      </c>
      <c r="R6" s="9">
        <v>0.34499999999999997</v>
      </c>
      <c r="S6" s="9">
        <v>0.32700000000000001</v>
      </c>
      <c r="T6" s="9"/>
      <c r="U6" s="9">
        <v>0.63500000000000001</v>
      </c>
      <c r="V6" s="9">
        <v>0.86</v>
      </c>
      <c r="W6" s="9"/>
      <c r="X6" s="10">
        <v>0.18099999999999999</v>
      </c>
      <c r="Y6" s="10">
        <v>0.3</v>
      </c>
      <c r="Z6" s="5"/>
      <c r="AA6" s="5"/>
      <c r="AB6" s="5">
        <f t="shared" si="0"/>
        <v>6</v>
      </c>
      <c r="AC6" s="5"/>
      <c r="AD6" s="5">
        <f t="shared" si="1"/>
        <v>3</v>
      </c>
      <c r="AE6" s="5">
        <f t="shared" si="2"/>
        <v>3</v>
      </c>
      <c r="AF6" s="5">
        <f t="shared" si="3"/>
        <v>4</v>
      </c>
      <c r="AG6" s="5">
        <f t="shared" si="4"/>
        <v>6</v>
      </c>
      <c r="AH6" s="5">
        <f t="shared" si="5"/>
        <v>7</v>
      </c>
      <c r="AI6" s="5">
        <f t="shared" si="6"/>
        <v>10</v>
      </c>
      <c r="AJ6" s="5"/>
      <c r="AK6" s="5">
        <f t="shared" si="7"/>
        <v>8</v>
      </c>
      <c r="AL6" s="5">
        <f t="shared" si="8"/>
        <v>9</v>
      </c>
      <c r="AM6" s="5">
        <f t="shared" si="9"/>
        <v>8</v>
      </c>
      <c r="AN6" s="5">
        <f t="shared" si="10"/>
        <v>3</v>
      </c>
      <c r="AO6" s="5">
        <f t="shared" si="11"/>
        <v>8</v>
      </c>
      <c r="AP6" s="5">
        <f t="shared" si="12"/>
        <v>6</v>
      </c>
      <c r="AQ6" s="5"/>
      <c r="AR6" s="5">
        <f t="shared" si="13"/>
        <v>4</v>
      </c>
      <c r="AS6" s="5">
        <f t="shared" si="14"/>
        <v>8</v>
      </c>
      <c r="AT6" s="5"/>
      <c r="AU6" s="5">
        <f t="shared" si="15"/>
        <v>8</v>
      </c>
      <c r="AV6" s="5">
        <f t="shared" si="16"/>
        <v>11</v>
      </c>
    </row>
    <row r="7" spans="1:48" x14ac:dyDescent="0.25">
      <c r="A7" s="6" t="s">
        <v>45</v>
      </c>
      <c r="B7" s="7">
        <v>40</v>
      </c>
      <c r="C7" s="1">
        <v>8074</v>
      </c>
      <c r="D7" s="9">
        <v>0.44600000000000001</v>
      </c>
      <c r="E7" s="9">
        <v>12.3</v>
      </c>
      <c r="F7" s="9"/>
      <c r="G7" s="9">
        <v>0.73</v>
      </c>
      <c r="H7" s="9">
        <v>0.24199999999999999</v>
      </c>
      <c r="I7" s="9">
        <v>0.25</v>
      </c>
      <c r="J7" s="9">
        <v>0.13</v>
      </c>
      <c r="K7" s="9">
        <v>0.108</v>
      </c>
      <c r="L7" s="9">
        <v>0.27</v>
      </c>
      <c r="M7" s="9"/>
      <c r="N7" s="9">
        <v>0.49</v>
      </c>
      <c r="O7" s="9">
        <v>0.66800000000000004</v>
      </c>
      <c r="P7" s="9">
        <v>0.443</v>
      </c>
      <c r="Q7" s="9">
        <v>0.33700000000000002</v>
      </c>
      <c r="R7" s="9">
        <v>0.38300000000000001</v>
      </c>
      <c r="S7" s="9">
        <v>0.32600000000000001</v>
      </c>
      <c r="T7" s="9"/>
      <c r="U7" s="9">
        <v>0.61399999999999999</v>
      </c>
      <c r="V7" s="9">
        <v>0.77200000000000002</v>
      </c>
      <c r="W7" s="9"/>
      <c r="X7" s="10">
        <v>0.14899999999999999</v>
      </c>
      <c r="Y7" s="10">
        <v>0.33300000000000002</v>
      </c>
      <c r="Z7" s="5"/>
      <c r="AA7" s="5"/>
      <c r="AB7" s="5">
        <f t="shared" si="0"/>
        <v>5</v>
      </c>
      <c r="AC7" s="5"/>
      <c r="AD7" s="5">
        <f t="shared" si="1"/>
        <v>2</v>
      </c>
      <c r="AE7" s="5">
        <f t="shared" si="2"/>
        <v>4</v>
      </c>
      <c r="AF7" s="5">
        <f t="shared" si="3"/>
        <v>7</v>
      </c>
      <c r="AG7" s="5">
        <f t="shared" si="4"/>
        <v>3</v>
      </c>
      <c r="AH7" s="5">
        <f t="shared" si="5"/>
        <v>3</v>
      </c>
      <c r="AI7" s="5">
        <f t="shared" si="6"/>
        <v>11</v>
      </c>
      <c r="AJ7" s="5"/>
      <c r="AK7" s="5">
        <f t="shared" si="7"/>
        <v>6</v>
      </c>
      <c r="AL7" s="5">
        <f t="shared" si="8"/>
        <v>6</v>
      </c>
      <c r="AM7" s="5">
        <f t="shared" si="9"/>
        <v>4</v>
      </c>
      <c r="AN7" s="5">
        <f t="shared" si="10"/>
        <v>10</v>
      </c>
      <c r="AO7" s="5">
        <f t="shared" si="11"/>
        <v>6</v>
      </c>
      <c r="AP7" s="5">
        <f t="shared" si="12"/>
        <v>7</v>
      </c>
      <c r="AQ7" s="5"/>
      <c r="AR7" s="5">
        <f t="shared" si="13"/>
        <v>7</v>
      </c>
      <c r="AS7" s="5">
        <f t="shared" si="14"/>
        <v>12</v>
      </c>
      <c r="AT7" s="5"/>
      <c r="AU7" s="5">
        <f t="shared" si="15"/>
        <v>12</v>
      </c>
      <c r="AV7" s="5">
        <f t="shared" si="16"/>
        <v>6</v>
      </c>
    </row>
    <row r="8" spans="1:48" x14ac:dyDescent="0.25">
      <c r="A8" s="6" t="s">
        <v>51</v>
      </c>
      <c r="B8" s="7">
        <v>40</v>
      </c>
      <c r="C8" s="1">
        <v>8024</v>
      </c>
      <c r="D8" s="9">
        <v>0.45600000000000002</v>
      </c>
      <c r="E8" s="9">
        <v>13.6</v>
      </c>
      <c r="F8" s="9"/>
      <c r="G8" s="9">
        <v>0.623</v>
      </c>
      <c r="H8" s="9">
        <v>0.28000000000000003</v>
      </c>
      <c r="I8" s="9">
        <v>0.189</v>
      </c>
      <c r="J8" s="9">
        <v>7.2999999999999995E-2</v>
      </c>
      <c r="K8" s="9">
        <v>8.1000000000000003E-2</v>
      </c>
      <c r="L8" s="9">
        <v>0.377</v>
      </c>
      <c r="M8" s="9"/>
      <c r="N8" s="9">
        <v>0.51700000000000002</v>
      </c>
      <c r="O8" s="9">
        <v>0.622</v>
      </c>
      <c r="P8" s="9">
        <v>0.47799999999999998</v>
      </c>
      <c r="Q8" s="9">
        <v>0.375</v>
      </c>
      <c r="R8" s="9">
        <v>0.372</v>
      </c>
      <c r="S8" s="9">
        <v>0.35599999999999998</v>
      </c>
      <c r="T8" s="9"/>
      <c r="U8" s="9">
        <v>0.60199999999999998</v>
      </c>
      <c r="V8" s="9">
        <v>0.77400000000000002</v>
      </c>
      <c r="W8" s="9"/>
      <c r="X8" s="10">
        <v>0.182</v>
      </c>
      <c r="Y8" s="10">
        <v>0.372</v>
      </c>
      <c r="Z8" s="5"/>
      <c r="AA8" s="5"/>
      <c r="AB8" s="5">
        <f t="shared" si="0"/>
        <v>1</v>
      </c>
      <c r="AC8" s="5"/>
      <c r="AD8" s="5">
        <f t="shared" si="1"/>
        <v>8</v>
      </c>
      <c r="AE8" s="5">
        <f t="shared" si="2"/>
        <v>2</v>
      </c>
      <c r="AF8" s="5">
        <f t="shared" si="3"/>
        <v>12</v>
      </c>
      <c r="AG8" s="5">
        <f t="shared" si="4"/>
        <v>12</v>
      </c>
      <c r="AH8" s="5">
        <f t="shared" si="5"/>
        <v>10</v>
      </c>
      <c r="AI8" s="5">
        <f t="shared" si="6"/>
        <v>5</v>
      </c>
      <c r="AJ8" s="5"/>
      <c r="AK8" s="5">
        <f t="shared" si="7"/>
        <v>2</v>
      </c>
      <c r="AL8" s="5">
        <f t="shared" si="8"/>
        <v>10</v>
      </c>
      <c r="AM8" s="5">
        <f t="shared" si="9"/>
        <v>3</v>
      </c>
      <c r="AN8" s="5">
        <f t="shared" si="10"/>
        <v>8</v>
      </c>
      <c r="AO8" s="5">
        <f t="shared" si="11"/>
        <v>7</v>
      </c>
      <c r="AP8" s="5">
        <f t="shared" si="12"/>
        <v>3</v>
      </c>
      <c r="AQ8" s="5"/>
      <c r="AR8" s="5">
        <f t="shared" si="13"/>
        <v>10</v>
      </c>
      <c r="AS8" s="5">
        <f t="shared" si="14"/>
        <v>11</v>
      </c>
      <c r="AT8" s="5"/>
      <c r="AU8" s="5">
        <f t="shared" si="15"/>
        <v>7</v>
      </c>
      <c r="AV8" s="5">
        <f t="shared" si="16"/>
        <v>4</v>
      </c>
    </row>
    <row r="9" spans="1:48" x14ac:dyDescent="0.25">
      <c r="A9" s="6" t="s">
        <v>44</v>
      </c>
      <c r="B9" s="7">
        <v>40</v>
      </c>
      <c r="C9" s="1">
        <v>8024</v>
      </c>
      <c r="D9" s="9">
        <v>0.42299999999999999</v>
      </c>
      <c r="E9" s="9">
        <v>12.8</v>
      </c>
      <c r="F9" s="9"/>
      <c r="G9" s="9">
        <v>0.66</v>
      </c>
      <c r="H9" s="9">
        <v>0.23400000000000001</v>
      </c>
      <c r="I9" s="9">
        <v>0.27100000000000002</v>
      </c>
      <c r="J9" s="9">
        <v>8.7999999999999995E-2</v>
      </c>
      <c r="K9" s="9">
        <v>6.7000000000000004E-2</v>
      </c>
      <c r="L9" s="9">
        <v>0.34</v>
      </c>
      <c r="M9" s="9"/>
      <c r="N9" s="9">
        <v>0.47599999999999998</v>
      </c>
      <c r="O9" s="9">
        <v>0.64100000000000001</v>
      </c>
      <c r="P9" s="9">
        <v>0.437</v>
      </c>
      <c r="Q9" s="9">
        <v>0.312</v>
      </c>
      <c r="R9" s="9">
        <v>0.27900000000000003</v>
      </c>
      <c r="S9" s="9">
        <v>0.32</v>
      </c>
      <c r="T9" s="9"/>
      <c r="U9" s="9">
        <v>0.622</v>
      </c>
      <c r="V9" s="9">
        <v>0.92700000000000005</v>
      </c>
      <c r="W9" s="9"/>
      <c r="X9" s="10">
        <v>0.17299999999999999</v>
      </c>
      <c r="Y9" s="10">
        <v>0.32100000000000001</v>
      </c>
      <c r="Z9" s="5"/>
      <c r="AA9" s="5"/>
      <c r="AB9" s="5">
        <f t="shared" si="0"/>
        <v>10</v>
      </c>
      <c r="AC9" s="5"/>
      <c r="AD9" s="5">
        <f t="shared" si="1"/>
        <v>6</v>
      </c>
      <c r="AE9" s="5">
        <f t="shared" si="2"/>
        <v>5</v>
      </c>
      <c r="AF9" s="5">
        <f t="shared" si="3"/>
        <v>3</v>
      </c>
      <c r="AG9" s="5">
        <f t="shared" si="4"/>
        <v>10</v>
      </c>
      <c r="AH9" s="5">
        <f t="shared" si="5"/>
        <v>11</v>
      </c>
      <c r="AI9" s="5">
        <f t="shared" si="6"/>
        <v>7</v>
      </c>
      <c r="AJ9" s="5"/>
      <c r="AK9" s="5">
        <f t="shared" si="7"/>
        <v>10</v>
      </c>
      <c r="AL9" s="5">
        <f t="shared" si="8"/>
        <v>8</v>
      </c>
      <c r="AM9" s="5">
        <f t="shared" si="9"/>
        <v>6</v>
      </c>
      <c r="AN9" s="5">
        <f t="shared" si="10"/>
        <v>12</v>
      </c>
      <c r="AO9" s="5">
        <f t="shared" si="11"/>
        <v>12</v>
      </c>
      <c r="AP9" s="5">
        <f t="shared" si="12"/>
        <v>10</v>
      </c>
      <c r="AQ9" s="5"/>
      <c r="AR9" s="5">
        <f t="shared" si="13"/>
        <v>5</v>
      </c>
      <c r="AS9" s="5">
        <f t="shared" si="14"/>
        <v>3</v>
      </c>
      <c r="AT9" s="5"/>
      <c r="AU9" s="5">
        <f t="shared" si="15"/>
        <v>10</v>
      </c>
      <c r="AV9" s="5">
        <f t="shared" si="16"/>
        <v>7</v>
      </c>
    </row>
    <row r="10" spans="1:48" x14ac:dyDescent="0.25">
      <c r="A10" s="6" t="s">
        <v>49</v>
      </c>
      <c r="B10" s="7">
        <v>40</v>
      </c>
      <c r="C10" s="1">
        <v>8024</v>
      </c>
      <c r="D10" s="9">
        <v>0.45400000000000001</v>
      </c>
      <c r="E10" s="9">
        <v>14.5</v>
      </c>
      <c r="F10" s="9"/>
      <c r="G10" s="9">
        <v>0.61199999999999999</v>
      </c>
      <c r="H10" s="9">
        <v>0.114</v>
      </c>
      <c r="I10" s="9">
        <v>0.29699999999999999</v>
      </c>
      <c r="J10" s="9">
        <v>0.11700000000000001</v>
      </c>
      <c r="K10" s="9">
        <v>8.4000000000000005E-2</v>
      </c>
      <c r="L10" s="9">
        <v>0.38800000000000001</v>
      </c>
      <c r="M10" s="9"/>
      <c r="N10" s="9">
        <v>0.51600000000000001</v>
      </c>
      <c r="O10" s="9">
        <v>0.69399999999999995</v>
      </c>
      <c r="P10" s="9">
        <v>0.50900000000000001</v>
      </c>
      <c r="Q10" s="9">
        <v>0.40600000000000003</v>
      </c>
      <c r="R10" s="9">
        <v>0.45400000000000001</v>
      </c>
      <c r="S10" s="9">
        <v>0.35499999999999998</v>
      </c>
      <c r="T10" s="9"/>
      <c r="U10" s="9">
        <v>0.58499999999999996</v>
      </c>
      <c r="V10" s="9">
        <v>0.84299999999999997</v>
      </c>
      <c r="W10" s="9"/>
      <c r="X10" s="10">
        <v>0.24199999999999999</v>
      </c>
      <c r="Y10" s="10">
        <v>0.35899999999999999</v>
      </c>
      <c r="Z10" s="5"/>
      <c r="AA10" s="5"/>
      <c r="AB10" s="5">
        <f t="shared" si="0"/>
        <v>2</v>
      </c>
      <c r="AC10" s="5"/>
      <c r="AD10" s="5">
        <f t="shared" si="1"/>
        <v>9</v>
      </c>
      <c r="AE10" s="5">
        <f t="shared" si="2"/>
        <v>12</v>
      </c>
      <c r="AF10" s="5">
        <f t="shared" si="3"/>
        <v>1</v>
      </c>
      <c r="AG10" s="5">
        <f t="shared" si="4"/>
        <v>5</v>
      </c>
      <c r="AH10" s="5">
        <f t="shared" si="5"/>
        <v>9</v>
      </c>
      <c r="AI10" s="5">
        <f t="shared" si="6"/>
        <v>4</v>
      </c>
      <c r="AJ10" s="5"/>
      <c r="AK10" s="5">
        <f t="shared" si="7"/>
        <v>3</v>
      </c>
      <c r="AL10" s="5">
        <f t="shared" si="8"/>
        <v>3</v>
      </c>
      <c r="AM10" s="5">
        <f t="shared" si="9"/>
        <v>1</v>
      </c>
      <c r="AN10" s="5">
        <f t="shared" si="10"/>
        <v>4</v>
      </c>
      <c r="AO10" s="5">
        <f t="shared" si="11"/>
        <v>1</v>
      </c>
      <c r="AP10" s="5">
        <f t="shared" si="12"/>
        <v>4</v>
      </c>
      <c r="AQ10" s="5"/>
      <c r="AR10" s="5">
        <f t="shared" si="13"/>
        <v>12</v>
      </c>
      <c r="AS10" s="5">
        <f t="shared" si="14"/>
        <v>9</v>
      </c>
      <c r="AT10" s="5"/>
      <c r="AU10" s="5">
        <f t="shared" si="15"/>
        <v>1</v>
      </c>
      <c r="AV10" s="5">
        <f t="shared" si="16"/>
        <v>5</v>
      </c>
    </row>
    <row r="11" spans="1:48" x14ac:dyDescent="0.25">
      <c r="A11" s="6" t="s">
        <v>48</v>
      </c>
      <c r="B11" s="7">
        <v>40</v>
      </c>
      <c r="C11" s="1">
        <v>8074</v>
      </c>
      <c r="D11" s="9">
        <v>0.44800000000000001</v>
      </c>
      <c r="E11" s="9">
        <v>14.7</v>
      </c>
      <c r="F11" s="9"/>
      <c r="G11" s="9">
        <v>0.629</v>
      </c>
      <c r="H11" s="9">
        <v>0.17499999999999999</v>
      </c>
      <c r="I11" s="9">
        <v>0.20499999999999999</v>
      </c>
      <c r="J11" s="9">
        <v>0.107</v>
      </c>
      <c r="K11" s="9">
        <v>0.14199999999999999</v>
      </c>
      <c r="L11" s="9">
        <v>0.371</v>
      </c>
      <c r="M11" s="9"/>
      <c r="N11" s="9">
        <v>0.48799999999999999</v>
      </c>
      <c r="O11" s="9">
        <v>0.66200000000000003</v>
      </c>
      <c r="P11" s="9">
        <v>0.39900000000000002</v>
      </c>
      <c r="Q11" s="9">
        <v>0.42899999999999999</v>
      </c>
      <c r="R11" s="9">
        <v>0.44400000000000001</v>
      </c>
      <c r="S11" s="9">
        <v>0.38</v>
      </c>
      <c r="T11" s="9"/>
      <c r="U11" s="9">
        <v>0.66800000000000004</v>
      </c>
      <c r="V11" s="9">
        <v>0.97399999999999998</v>
      </c>
      <c r="W11" s="9"/>
      <c r="X11" s="10">
        <v>0.19800000000000001</v>
      </c>
      <c r="Y11" s="10">
        <v>0.42899999999999999</v>
      </c>
      <c r="Z11" s="5"/>
      <c r="AA11" s="5"/>
      <c r="AB11" s="5">
        <f t="shared" si="0"/>
        <v>3</v>
      </c>
      <c r="AC11" s="5"/>
      <c r="AD11" s="5">
        <f t="shared" si="1"/>
        <v>7</v>
      </c>
      <c r="AE11" s="5">
        <f t="shared" si="2"/>
        <v>9</v>
      </c>
      <c r="AF11" s="5">
        <f t="shared" si="3"/>
        <v>11</v>
      </c>
      <c r="AG11" s="5">
        <f t="shared" si="4"/>
        <v>8</v>
      </c>
      <c r="AH11" s="5">
        <f t="shared" si="5"/>
        <v>1</v>
      </c>
      <c r="AI11" s="5">
        <f t="shared" si="6"/>
        <v>6</v>
      </c>
      <c r="AJ11" s="5"/>
      <c r="AK11" s="5">
        <f t="shared" si="7"/>
        <v>7</v>
      </c>
      <c r="AL11" s="5">
        <f t="shared" si="8"/>
        <v>7</v>
      </c>
      <c r="AM11" s="5">
        <f t="shared" si="9"/>
        <v>9</v>
      </c>
      <c r="AN11" s="5">
        <f t="shared" si="10"/>
        <v>2</v>
      </c>
      <c r="AO11" s="5">
        <f t="shared" si="11"/>
        <v>2</v>
      </c>
      <c r="AP11" s="5">
        <f t="shared" si="12"/>
        <v>1</v>
      </c>
      <c r="AQ11" s="5"/>
      <c r="AR11" s="5">
        <f t="shared" si="13"/>
        <v>1</v>
      </c>
      <c r="AS11" s="5">
        <f t="shared" si="14"/>
        <v>1</v>
      </c>
      <c r="AT11" s="5"/>
      <c r="AU11" s="5">
        <f t="shared" si="15"/>
        <v>4</v>
      </c>
      <c r="AV11" s="5">
        <f t="shared" si="16"/>
        <v>2</v>
      </c>
    </row>
    <row r="12" spans="1:48" x14ac:dyDescent="0.25">
      <c r="A12" s="6" t="s">
        <v>46</v>
      </c>
      <c r="B12" s="7">
        <v>40</v>
      </c>
      <c r="C12" s="1">
        <v>7999</v>
      </c>
      <c r="D12" s="9">
        <v>0.44800000000000001</v>
      </c>
      <c r="E12" s="9">
        <v>14.5</v>
      </c>
      <c r="F12" s="9"/>
      <c r="G12" s="9">
        <v>0.57799999999999996</v>
      </c>
      <c r="H12" s="9">
        <v>0.159</v>
      </c>
      <c r="I12" s="9">
        <v>0.25800000000000001</v>
      </c>
      <c r="J12" s="9">
        <v>0.108</v>
      </c>
      <c r="K12" s="9">
        <v>5.2999999999999999E-2</v>
      </c>
      <c r="L12" s="9">
        <v>0.42199999999999999</v>
      </c>
      <c r="M12" s="9"/>
      <c r="N12" s="9">
        <v>0.52</v>
      </c>
      <c r="O12" s="9">
        <v>0.71199999999999997</v>
      </c>
      <c r="P12" s="9">
        <v>0.48599999999999999</v>
      </c>
      <c r="Q12" s="9">
        <v>0.40400000000000003</v>
      </c>
      <c r="R12" s="9">
        <v>0.34499999999999997</v>
      </c>
      <c r="S12" s="9">
        <v>0.34899999999999998</v>
      </c>
      <c r="T12" s="9"/>
      <c r="U12" s="9">
        <v>0.65700000000000003</v>
      </c>
      <c r="V12" s="9">
        <v>0.91100000000000003</v>
      </c>
      <c r="W12" s="9"/>
      <c r="X12" s="10">
        <v>0.20100000000000001</v>
      </c>
      <c r="Y12" s="10">
        <v>0.40300000000000002</v>
      </c>
      <c r="Z12" s="5"/>
      <c r="AA12" s="5"/>
      <c r="AB12" s="5">
        <f t="shared" si="0"/>
        <v>3</v>
      </c>
      <c r="AC12" s="5"/>
      <c r="AD12" s="5">
        <f t="shared" si="1"/>
        <v>12</v>
      </c>
      <c r="AE12" s="5">
        <f t="shared" si="2"/>
        <v>11</v>
      </c>
      <c r="AF12" s="5">
        <f t="shared" si="3"/>
        <v>6</v>
      </c>
      <c r="AG12" s="5">
        <f t="shared" si="4"/>
        <v>7</v>
      </c>
      <c r="AH12" s="5">
        <f t="shared" si="5"/>
        <v>12</v>
      </c>
      <c r="AI12" s="5">
        <f t="shared" si="6"/>
        <v>1</v>
      </c>
      <c r="AJ12" s="5"/>
      <c r="AK12" s="5">
        <f t="shared" si="7"/>
        <v>1</v>
      </c>
      <c r="AL12" s="5">
        <f t="shared" si="8"/>
        <v>2</v>
      </c>
      <c r="AM12" s="5">
        <f t="shared" si="9"/>
        <v>2</v>
      </c>
      <c r="AN12" s="5">
        <f t="shared" si="10"/>
        <v>7</v>
      </c>
      <c r="AO12" s="5">
        <f t="shared" si="11"/>
        <v>8</v>
      </c>
      <c r="AP12" s="5">
        <f t="shared" si="12"/>
        <v>5</v>
      </c>
      <c r="AQ12" s="5"/>
      <c r="AR12" s="5">
        <f t="shared" si="13"/>
        <v>2</v>
      </c>
      <c r="AS12" s="5">
        <f t="shared" si="14"/>
        <v>4</v>
      </c>
      <c r="AT12" s="5"/>
      <c r="AU12" s="5">
        <f t="shared" si="15"/>
        <v>3</v>
      </c>
      <c r="AV12" s="5">
        <f t="shared" si="16"/>
        <v>3</v>
      </c>
    </row>
    <row r="13" spans="1:48" x14ac:dyDescent="0.25">
      <c r="A13" s="6" t="s">
        <v>53</v>
      </c>
      <c r="B13" s="7">
        <v>40</v>
      </c>
      <c r="C13" s="1">
        <v>8049</v>
      </c>
      <c r="D13" s="9">
        <v>0.439</v>
      </c>
      <c r="E13" s="9">
        <v>14.5</v>
      </c>
      <c r="F13" s="9"/>
      <c r="G13" s="9">
        <v>0.60599999999999998</v>
      </c>
      <c r="H13" s="9">
        <v>0.17299999999999999</v>
      </c>
      <c r="I13" s="9">
        <v>0.248</v>
      </c>
      <c r="J13" s="9">
        <v>9.6000000000000002E-2</v>
      </c>
      <c r="K13" s="9">
        <v>8.8999999999999996E-2</v>
      </c>
      <c r="L13" s="9">
        <v>0.39400000000000002</v>
      </c>
      <c r="M13" s="9"/>
      <c r="N13" s="9">
        <v>0.51200000000000001</v>
      </c>
      <c r="O13" s="9">
        <v>0.73399999999999999</v>
      </c>
      <c r="P13" s="9">
        <v>0.439</v>
      </c>
      <c r="Q13" s="9">
        <v>0.40600000000000003</v>
      </c>
      <c r="R13" s="9">
        <v>0.39800000000000002</v>
      </c>
      <c r="S13" s="9">
        <v>0.32600000000000001</v>
      </c>
      <c r="T13" s="9"/>
      <c r="U13" s="9">
        <v>0.60599999999999998</v>
      </c>
      <c r="V13" s="9">
        <v>0.86499999999999999</v>
      </c>
      <c r="W13" s="9"/>
      <c r="X13" s="10">
        <v>0.17899999999999999</v>
      </c>
      <c r="Y13" s="10">
        <v>0.316</v>
      </c>
      <c r="Z13" s="5"/>
      <c r="AA13" s="5"/>
      <c r="AB13" s="5">
        <f t="shared" si="0"/>
        <v>7</v>
      </c>
      <c r="AC13" s="5"/>
      <c r="AD13" s="5">
        <f t="shared" si="1"/>
        <v>10</v>
      </c>
      <c r="AE13" s="5">
        <f t="shared" si="2"/>
        <v>10</v>
      </c>
      <c r="AF13" s="5">
        <f t="shared" si="3"/>
        <v>8</v>
      </c>
      <c r="AG13" s="5">
        <f t="shared" si="4"/>
        <v>9</v>
      </c>
      <c r="AH13" s="5">
        <f t="shared" si="5"/>
        <v>7</v>
      </c>
      <c r="AI13" s="5">
        <f t="shared" si="6"/>
        <v>3</v>
      </c>
      <c r="AJ13" s="5"/>
      <c r="AK13" s="5">
        <f t="shared" si="7"/>
        <v>4</v>
      </c>
      <c r="AL13" s="5">
        <f t="shared" si="8"/>
        <v>1</v>
      </c>
      <c r="AM13" s="5">
        <f t="shared" si="9"/>
        <v>5</v>
      </c>
      <c r="AN13" s="5">
        <f t="shared" si="10"/>
        <v>4</v>
      </c>
      <c r="AO13" s="5">
        <f t="shared" si="11"/>
        <v>3</v>
      </c>
      <c r="AP13" s="5">
        <f t="shared" si="12"/>
        <v>7</v>
      </c>
      <c r="AQ13" s="5"/>
      <c r="AR13" s="5">
        <f t="shared" si="13"/>
        <v>8</v>
      </c>
      <c r="AS13" s="5">
        <f t="shared" si="14"/>
        <v>7</v>
      </c>
      <c r="AT13" s="5"/>
      <c r="AU13" s="5">
        <f t="shared" si="15"/>
        <v>9</v>
      </c>
      <c r="AV13" s="5">
        <f t="shared" si="16"/>
        <v>8</v>
      </c>
    </row>
    <row r="14" spans="1:48" x14ac:dyDescent="0.25">
      <c r="A14" s="6" t="s">
        <v>50</v>
      </c>
      <c r="B14" s="7">
        <v>40</v>
      </c>
      <c r="C14" s="1">
        <v>8049</v>
      </c>
      <c r="D14" s="9">
        <v>0.435</v>
      </c>
      <c r="E14" s="9">
        <v>12.8</v>
      </c>
      <c r="F14" s="9"/>
      <c r="G14" s="9">
        <v>0.70499999999999996</v>
      </c>
      <c r="H14" s="9">
        <v>0.20200000000000001</v>
      </c>
      <c r="I14" s="9">
        <v>0.27800000000000002</v>
      </c>
      <c r="J14" s="9">
        <v>0.13100000000000001</v>
      </c>
      <c r="K14" s="9">
        <v>9.4E-2</v>
      </c>
      <c r="L14" s="9">
        <v>0.29499999999999998</v>
      </c>
      <c r="M14" s="9"/>
      <c r="N14" s="9">
        <v>0.497</v>
      </c>
      <c r="O14" s="9">
        <v>0.69299999999999995</v>
      </c>
      <c r="P14" s="9">
        <v>0.435</v>
      </c>
      <c r="Q14" s="9">
        <v>0.40500000000000003</v>
      </c>
      <c r="R14" s="9">
        <v>0.38700000000000001</v>
      </c>
      <c r="S14" s="9">
        <v>0.28799999999999998</v>
      </c>
      <c r="T14" s="9"/>
      <c r="U14" s="9">
        <v>0.61599999999999999</v>
      </c>
      <c r="V14" s="9">
        <v>0.86799999999999999</v>
      </c>
      <c r="W14" s="9"/>
      <c r="X14" s="10">
        <v>0.17</v>
      </c>
      <c r="Y14" s="10">
        <v>0.30099999999999999</v>
      </c>
      <c r="Z14" s="5"/>
      <c r="AA14" s="5"/>
      <c r="AB14" s="5">
        <f t="shared" si="0"/>
        <v>8</v>
      </c>
      <c r="AC14" s="5"/>
      <c r="AD14" s="5">
        <f t="shared" si="1"/>
        <v>5</v>
      </c>
      <c r="AE14" s="5">
        <f t="shared" si="2"/>
        <v>7</v>
      </c>
      <c r="AF14" s="5">
        <f t="shared" si="3"/>
        <v>2</v>
      </c>
      <c r="AG14" s="5">
        <f t="shared" si="4"/>
        <v>2</v>
      </c>
      <c r="AH14" s="5">
        <f t="shared" si="5"/>
        <v>5</v>
      </c>
      <c r="AI14" s="5">
        <f t="shared" si="6"/>
        <v>8</v>
      </c>
      <c r="AJ14" s="5"/>
      <c r="AK14" s="5">
        <f t="shared" si="7"/>
        <v>5</v>
      </c>
      <c r="AL14" s="5">
        <f t="shared" si="8"/>
        <v>4</v>
      </c>
      <c r="AM14" s="5">
        <f t="shared" si="9"/>
        <v>7</v>
      </c>
      <c r="AN14" s="5">
        <f t="shared" si="10"/>
        <v>6</v>
      </c>
      <c r="AO14" s="5">
        <f t="shared" si="11"/>
        <v>5</v>
      </c>
      <c r="AP14" s="5">
        <f t="shared" si="12"/>
        <v>12</v>
      </c>
      <c r="AQ14" s="5"/>
      <c r="AR14" s="5">
        <f t="shared" si="13"/>
        <v>6</v>
      </c>
      <c r="AS14" s="5">
        <f t="shared" si="14"/>
        <v>6</v>
      </c>
      <c r="AT14" s="5"/>
      <c r="AU14" s="5">
        <f t="shared" si="15"/>
        <v>11</v>
      </c>
      <c r="AV14" s="5">
        <f t="shared" si="16"/>
        <v>10</v>
      </c>
    </row>
    <row r="15" spans="1:48" x14ac:dyDescent="0.25">
      <c r="A15" s="6" t="s">
        <v>42</v>
      </c>
      <c r="B15" s="7">
        <v>40</v>
      </c>
      <c r="C15" s="1">
        <v>8049</v>
      </c>
      <c r="D15" s="9">
        <v>0.433</v>
      </c>
      <c r="E15" s="9">
        <v>14.4</v>
      </c>
      <c r="F15" s="9"/>
      <c r="G15" s="9">
        <v>0.60299999999999998</v>
      </c>
      <c r="H15" s="9">
        <v>0.18099999999999999</v>
      </c>
      <c r="I15" s="9">
        <v>0.245</v>
      </c>
      <c r="J15" s="9">
        <v>8.5999999999999993E-2</v>
      </c>
      <c r="K15" s="9">
        <v>9.0999999999999998E-2</v>
      </c>
      <c r="L15" s="9">
        <v>0.39700000000000002</v>
      </c>
      <c r="M15" s="9"/>
      <c r="N15" s="9">
        <v>0.47699999999999998</v>
      </c>
      <c r="O15" s="9">
        <v>0.68500000000000005</v>
      </c>
      <c r="P15" s="9">
        <v>0.378</v>
      </c>
      <c r="Q15" s="9">
        <v>0.47799999999999998</v>
      </c>
      <c r="R15" s="9">
        <v>0.33200000000000002</v>
      </c>
      <c r="S15" s="9">
        <v>0.36599999999999999</v>
      </c>
      <c r="T15" s="9"/>
      <c r="U15" s="9">
        <v>0.63700000000000001</v>
      </c>
      <c r="V15" s="9">
        <v>0.95399999999999996</v>
      </c>
      <c r="W15" s="9"/>
      <c r="X15" s="10">
        <v>0.183</v>
      </c>
      <c r="Y15" s="10">
        <v>0.45100000000000001</v>
      </c>
      <c r="Z15" s="5"/>
      <c r="AA15" s="5"/>
      <c r="AB15" s="5">
        <f t="shared" si="0"/>
        <v>9</v>
      </c>
      <c r="AC15" s="5"/>
      <c r="AD15" s="5">
        <f t="shared" si="1"/>
        <v>11</v>
      </c>
      <c r="AE15" s="5">
        <f t="shared" si="2"/>
        <v>8</v>
      </c>
      <c r="AF15" s="5">
        <f t="shared" si="3"/>
        <v>9</v>
      </c>
      <c r="AG15" s="5">
        <f t="shared" si="4"/>
        <v>11</v>
      </c>
      <c r="AH15" s="5">
        <f t="shared" si="5"/>
        <v>6</v>
      </c>
      <c r="AI15" s="5">
        <f t="shared" si="6"/>
        <v>2</v>
      </c>
      <c r="AJ15" s="5"/>
      <c r="AK15" s="5">
        <f t="shared" si="7"/>
        <v>9</v>
      </c>
      <c r="AL15" s="5">
        <f t="shared" si="8"/>
        <v>5</v>
      </c>
      <c r="AM15" s="5">
        <f t="shared" si="9"/>
        <v>10</v>
      </c>
      <c r="AN15" s="5">
        <f t="shared" si="10"/>
        <v>1</v>
      </c>
      <c r="AO15" s="5">
        <f t="shared" si="11"/>
        <v>11</v>
      </c>
      <c r="AP15" s="5">
        <f t="shared" si="12"/>
        <v>2</v>
      </c>
      <c r="AQ15" s="5"/>
      <c r="AR15" s="5">
        <f t="shared" si="13"/>
        <v>3</v>
      </c>
      <c r="AS15" s="5">
        <f t="shared" si="14"/>
        <v>2</v>
      </c>
      <c r="AT15" s="5"/>
      <c r="AU15" s="5">
        <f t="shared" si="15"/>
        <v>6</v>
      </c>
      <c r="AV15" s="5">
        <f t="shared" si="16"/>
        <v>1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40</v>
      </c>
      <c r="C24" s="9">
        <f t="shared" ref="C24:Y24" si="17">AVERAGE(C4:C18)</f>
        <v>8040.75</v>
      </c>
      <c r="D24" s="9">
        <f t="shared" si="17"/>
        <v>0.43799999999999994</v>
      </c>
      <c r="E24" s="9">
        <f t="shared" si="17"/>
        <v>13.300000000000002</v>
      </c>
      <c r="F24" s="9"/>
      <c r="G24" s="9">
        <f t="shared" si="17"/>
        <v>0.66466666666666663</v>
      </c>
      <c r="H24" s="9">
        <f t="shared" si="17"/>
        <v>0.21275000000000002</v>
      </c>
      <c r="I24" s="9">
        <f t="shared" si="17"/>
        <v>0.24916666666666673</v>
      </c>
      <c r="J24" s="9">
        <f t="shared" si="17"/>
        <v>0.1085</v>
      </c>
      <c r="K24" s="9">
        <f t="shared" si="17"/>
        <v>9.4166666666666662E-2</v>
      </c>
      <c r="L24" s="9">
        <f t="shared" si="17"/>
        <v>0.33533333333333332</v>
      </c>
      <c r="M24" s="9"/>
      <c r="N24" s="9">
        <f t="shared" si="17"/>
        <v>0.48975000000000007</v>
      </c>
      <c r="O24" s="9">
        <f t="shared" si="17"/>
        <v>0.66249999999999998</v>
      </c>
      <c r="P24" s="9">
        <f t="shared" si="17"/>
        <v>0.43099999999999999</v>
      </c>
      <c r="Q24" s="9">
        <f t="shared" si="17"/>
        <v>0.38841666666666663</v>
      </c>
      <c r="R24" s="9">
        <f t="shared" si="17"/>
        <v>0.37316666666666665</v>
      </c>
      <c r="S24" s="9">
        <f t="shared" si="17"/>
        <v>0.33533333333333332</v>
      </c>
      <c r="T24" s="9"/>
      <c r="U24" s="9">
        <f t="shared" si="17"/>
        <v>0.62058333333333326</v>
      </c>
      <c r="V24" s="9">
        <f t="shared" si="17"/>
        <v>0.87058333333333338</v>
      </c>
      <c r="W24" s="9"/>
      <c r="X24" s="9">
        <f t="shared" si="17"/>
        <v>0.1885</v>
      </c>
      <c r="Y24" s="9">
        <f t="shared" si="17"/>
        <v>0.34858333333333325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ht="26.25" x14ac:dyDescent="0.4">
      <c r="A2" s="11"/>
      <c r="B2" s="14"/>
      <c r="C2" s="14"/>
      <c r="D2" s="14"/>
      <c r="E2" s="14"/>
      <c r="F2" s="14"/>
      <c r="G2" s="18" t="s">
        <v>37</v>
      </c>
      <c r="H2" s="18"/>
      <c r="I2" s="18"/>
      <c r="J2" s="18"/>
      <c r="K2" s="18"/>
      <c r="L2" s="18"/>
      <c r="M2" s="14"/>
      <c r="N2" s="18" t="s">
        <v>38</v>
      </c>
      <c r="O2" s="18"/>
      <c r="P2" s="18"/>
      <c r="Q2" s="18"/>
      <c r="R2" s="18"/>
      <c r="S2" s="18"/>
      <c r="T2" s="14"/>
      <c r="U2" s="18" t="s">
        <v>39</v>
      </c>
      <c r="V2" s="18"/>
      <c r="W2" s="14"/>
      <c r="X2" s="18" t="s">
        <v>40</v>
      </c>
      <c r="Y2" s="18"/>
      <c r="AB2" s="16"/>
      <c r="AC2" s="16"/>
      <c r="AD2" s="18" t="s">
        <v>37</v>
      </c>
      <c r="AE2" s="18"/>
      <c r="AF2" s="18"/>
      <c r="AG2" s="18"/>
      <c r="AH2" s="18"/>
      <c r="AI2" s="18"/>
      <c r="AJ2" s="12"/>
      <c r="AK2" s="18" t="s">
        <v>38</v>
      </c>
      <c r="AL2" s="18"/>
      <c r="AM2" s="18"/>
      <c r="AN2" s="18"/>
      <c r="AO2" s="18"/>
      <c r="AP2" s="18"/>
      <c r="AQ2" s="12"/>
      <c r="AR2" s="18" t="s">
        <v>39</v>
      </c>
      <c r="AS2" s="18"/>
      <c r="AT2" s="12"/>
      <c r="AU2" s="18" t="s">
        <v>40</v>
      </c>
      <c r="AV2" s="18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52</v>
      </c>
      <c r="B4" s="7">
        <v>40</v>
      </c>
      <c r="C4" s="1">
        <v>8074</v>
      </c>
      <c r="D4" s="9">
        <v>0.42899999999999999</v>
      </c>
      <c r="E4" s="9">
        <v>13</v>
      </c>
      <c r="F4" s="9"/>
      <c r="G4" s="9">
        <v>0.65700000000000003</v>
      </c>
      <c r="H4" s="9">
        <v>0.24299999999999999</v>
      </c>
      <c r="I4" s="9">
        <v>0.223</v>
      </c>
      <c r="J4" s="9">
        <v>0.10199999999999999</v>
      </c>
      <c r="K4" s="9">
        <v>0.09</v>
      </c>
      <c r="L4" s="9">
        <v>0.34300000000000003</v>
      </c>
      <c r="M4" s="9"/>
      <c r="N4" s="9">
        <v>0.47299999999999998</v>
      </c>
      <c r="O4" s="9">
        <v>0.61699999999999999</v>
      </c>
      <c r="P4" s="9">
        <v>0.4</v>
      </c>
      <c r="Q4" s="9">
        <v>0.35799999999999998</v>
      </c>
      <c r="R4" s="9">
        <v>0.39700000000000002</v>
      </c>
      <c r="S4" s="9">
        <v>0.34399999999999997</v>
      </c>
      <c r="T4" s="9"/>
      <c r="U4" s="9">
        <v>0.628</v>
      </c>
      <c r="V4" s="9">
        <v>0.874</v>
      </c>
      <c r="W4" s="9"/>
      <c r="X4" s="10">
        <v>0.215</v>
      </c>
      <c r="Y4" s="10">
        <v>0.35699999999999998</v>
      </c>
      <c r="Z4" s="5"/>
      <c r="AA4" s="5"/>
      <c r="AB4" s="5">
        <f t="shared" ref="AB4:AB15" si="0">RANK(D4,D$4:D$18,1)</f>
        <v>4</v>
      </c>
      <c r="AC4" s="5"/>
      <c r="AD4" s="5">
        <f t="shared" ref="AD4:AD15" si="1">RANK(G4,G$4:G$18,1)</f>
        <v>4</v>
      </c>
      <c r="AE4" s="5">
        <f t="shared" ref="AE4:AE15" si="2">RANK(H4,H$4:H$18,1)</f>
        <v>11</v>
      </c>
      <c r="AF4" s="5">
        <f t="shared" ref="AF4:AF15" si="3">RANK(I4,I$4:I$18,1)</f>
        <v>3</v>
      </c>
      <c r="AG4" s="5">
        <f t="shared" ref="AG4:AG15" si="4">RANK(J4,J$4:J$18,1)</f>
        <v>3</v>
      </c>
      <c r="AH4" s="5">
        <f t="shared" ref="AH4:AH15" si="5">RANK(K4,K$4:K$18,1)</f>
        <v>4</v>
      </c>
      <c r="AI4" s="5">
        <f t="shared" ref="AI4:AI15" si="6">RANK(L4,L$4:L$18,1)</f>
        <v>9</v>
      </c>
      <c r="AJ4" s="5"/>
      <c r="AK4" s="5">
        <f t="shared" ref="AK4:AK15" si="7">RANK(N4,N$4:N$18,1)</f>
        <v>5</v>
      </c>
      <c r="AL4" s="5">
        <f t="shared" ref="AL4:AL15" si="8">RANK(O4,O$4:O$18,1)</f>
        <v>3</v>
      </c>
      <c r="AM4" s="5">
        <f t="shared" ref="AM4:AM15" si="9">RANK(P4,P$4:P$18,1)</f>
        <v>2</v>
      </c>
      <c r="AN4" s="5">
        <f t="shared" ref="AN4:AN15" si="10">RANK(Q4,Q$4:Q$18,1)</f>
        <v>3</v>
      </c>
      <c r="AO4" s="5">
        <f t="shared" ref="AO4:AO15" si="11">RANK(R4,R$4:R$18,1)</f>
        <v>9</v>
      </c>
      <c r="AP4" s="5">
        <f t="shared" ref="AP4:AP15" si="12">RANK(S4,S$4:S$18,1)</f>
        <v>8</v>
      </c>
      <c r="AQ4" s="5"/>
      <c r="AR4" s="5">
        <f t="shared" ref="AR4:AR15" si="13">RANK(U4,U$4:U$18,1)</f>
        <v>9</v>
      </c>
      <c r="AS4" s="5">
        <f t="shared" ref="AS4:AS15" si="14">RANK(V4,V$4:V$18,1)</f>
        <v>4</v>
      </c>
      <c r="AT4" s="5"/>
      <c r="AU4" s="5">
        <f>RANK(X4,X$4:X$18,1)</f>
        <v>11</v>
      </c>
      <c r="AV4" s="5">
        <f>RANK(Y4,Y$4:Y$18,1)</f>
        <v>7</v>
      </c>
    </row>
    <row r="5" spans="1:48" x14ac:dyDescent="0.25">
      <c r="A5" s="6" t="s">
        <v>43</v>
      </c>
      <c r="B5" s="7">
        <v>40</v>
      </c>
      <c r="C5" s="1">
        <v>8000</v>
      </c>
      <c r="D5" s="9">
        <v>0.44600000000000001</v>
      </c>
      <c r="E5" s="9">
        <v>13</v>
      </c>
      <c r="F5" s="9"/>
      <c r="G5" s="9">
        <v>0.67800000000000005</v>
      </c>
      <c r="H5" s="9">
        <v>0.27500000000000002</v>
      </c>
      <c r="I5" s="9">
        <v>0.2</v>
      </c>
      <c r="J5" s="9">
        <v>0.1</v>
      </c>
      <c r="K5" s="9">
        <v>0.10299999999999999</v>
      </c>
      <c r="L5" s="9">
        <v>0.32200000000000001</v>
      </c>
      <c r="M5" s="9"/>
      <c r="N5" s="9">
        <v>0.503</v>
      </c>
      <c r="O5" s="9">
        <v>0.65</v>
      </c>
      <c r="P5" s="9">
        <v>0.39100000000000001</v>
      </c>
      <c r="Q5" s="9">
        <v>0.39300000000000002</v>
      </c>
      <c r="R5" s="9">
        <v>0.433</v>
      </c>
      <c r="S5" s="9">
        <v>0.32600000000000001</v>
      </c>
      <c r="T5" s="9"/>
      <c r="U5" s="9">
        <v>0.67200000000000004</v>
      </c>
      <c r="V5" s="9">
        <v>0.88</v>
      </c>
      <c r="W5" s="9"/>
      <c r="X5" s="10">
        <v>0.20300000000000001</v>
      </c>
      <c r="Y5" s="10">
        <v>0.27800000000000002</v>
      </c>
      <c r="Z5" s="5"/>
      <c r="AA5" s="5"/>
      <c r="AB5" s="5">
        <f t="shared" si="0"/>
        <v>10</v>
      </c>
      <c r="AC5" s="5"/>
      <c r="AD5" s="5">
        <f t="shared" si="1"/>
        <v>8</v>
      </c>
      <c r="AE5" s="5">
        <f t="shared" si="2"/>
        <v>12</v>
      </c>
      <c r="AF5" s="5">
        <f t="shared" si="3"/>
        <v>1</v>
      </c>
      <c r="AG5" s="5">
        <f t="shared" si="4"/>
        <v>1</v>
      </c>
      <c r="AH5" s="5">
        <f t="shared" si="5"/>
        <v>11</v>
      </c>
      <c r="AI5" s="5">
        <f t="shared" si="6"/>
        <v>5</v>
      </c>
      <c r="AJ5" s="5"/>
      <c r="AK5" s="5">
        <f t="shared" si="7"/>
        <v>9</v>
      </c>
      <c r="AL5" s="5">
        <f t="shared" si="8"/>
        <v>6</v>
      </c>
      <c r="AM5" s="5">
        <f t="shared" si="9"/>
        <v>1</v>
      </c>
      <c r="AN5" s="5">
        <f t="shared" si="10"/>
        <v>7</v>
      </c>
      <c r="AO5" s="5">
        <f t="shared" si="11"/>
        <v>12</v>
      </c>
      <c r="AP5" s="5">
        <f t="shared" si="12"/>
        <v>4</v>
      </c>
      <c r="AQ5" s="5"/>
      <c r="AR5" s="5">
        <f t="shared" si="13"/>
        <v>12</v>
      </c>
      <c r="AS5" s="5">
        <f t="shared" si="14"/>
        <v>7</v>
      </c>
      <c r="AT5" s="5"/>
      <c r="AU5" s="5">
        <f t="shared" ref="AU5:AU15" si="15">RANK(X5,X$4:X$18,1)</f>
        <v>10</v>
      </c>
      <c r="AV5" s="5">
        <f t="shared" ref="AV5:AV15" si="16">RANK(Y5,Y$4:Y$18,1)</f>
        <v>1</v>
      </c>
    </row>
    <row r="6" spans="1:48" x14ac:dyDescent="0.25">
      <c r="A6" s="6" t="s">
        <v>47</v>
      </c>
      <c r="B6" s="7">
        <v>40</v>
      </c>
      <c r="C6" s="1">
        <v>8049</v>
      </c>
      <c r="D6" s="9">
        <v>0.43099999999999999</v>
      </c>
      <c r="E6" s="9">
        <v>13</v>
      </c>
      <c r="F6" s="9"/>
      <c r="G6" s="9">
        <v>0.67300000000000004</v>
      </c>
      <c r="H6" s="9">
        <v>0.20699999999999999</v>
      </c>
      <c r="I6" s="9">
        <v>0.25700000000000001</v>
      </c>
      <c r="J6" s="9">
        <v>0.12</v>
      </c>
      <c r="K6" s="9">
        <v>8.8999999999999996E-2</v>
      </c>
      <c r="L6" s="9">
        <v>0.32700000000000001</v>
      </c>
      <c r="M6" s="9"/>
      <c r="N6" s="9">
        <v>0.48799999999999999</v>
      </c>
      <c r="O6" s="9">
        <v>0.66</v>
      </c>
      <c r="P6" s="9">
        <v>0.435</v>
      </c>
      <c r="Q6" s="9">
        <v>0.40100000000000002</v>
      </c>
      <c r="R6" s="9">
        <v>0.36199999999999999</v>
      </c>
      <c r="S6" s="9">
        <v>0.313</v>
      </c>
      <c r="T6" s="9"/>
      <c r="U6" s="9">
        <v>0.64400000000000002</v>
      </c>
      <c r="V6" s="9">
        <v>0.89500000000000002</v>
      </c>
      <c r="W6" s="9"/>
      <c r="X6" s="10">
        <v>0.193</v>
      </c>
      <c r="Y6" s="10">
        <v>0.34599999999999997</v>
      </c>
      <c r="Z6" s="5"/>
      <c r="AA6" s="5"/>
      <c r="AB6" s="5">
        <f t="shared" si="0"/>
        <v>5</v>
      </c>
      <c r="AC6" s="5"/>
      <c r="AD6" s="5">
        <f t="shared" si="1"/>
        <v>7</v>
      </c>
      <c r="AE6" s="5">
        <f t="shared" si="2"/>
        <v>5</v>
      </c>
      <c r="AF6" s="5">
        <f t="shared" si="3"/>
        <v>8</v>
      </c>
      <c r="AG6" s="5">
        <f t="shared" si="4"/>
        <v>11</v>
      </c>
      <c r="AH6" s="5">
        <f t="shared" si="5"/>
        <v>2</v>
      </c>
      <c r="AI6" s="5">
        <f t="shared" si="6"/>
        <v>6</v>
      </c>
      <c r="AJ6" s="5"/>
      <c r="AK6" s="5">
        <f t="shared" si="7"/>
        <v>8</v>
      </c>
      <c r="AL6" s="5">
        <f t="shared" si="8"/>
        <v>8</v>
      </c>
      <c r="AM6" s="5">
        <f t="shared" si="9"/>
        <v>7</v>
      </c>
      <c r="AN6" s="5">
        <f t="shared" si="10"/>
        <v>9</v>
      </c>
      <c r="AO6" s="5">
        <f t="shared" si="11"/>
        <v>3</v>
      </c>
      <c r="AP6" s="5">
        <f t="shared" si="12"/>
        <v>2</v>
      </c>
      <c r="AQ6" s="5"/>
      <c r="AR6" s="5">
        <f t="shared" si="13"/>
        <v>11</v>
      </c>
      <c r="AS6" s="5">
        <f t="shared" si="14"/>
        <v>10</v>
      </c>
      <c r="AT6" s="5"/>
      <c r="AU6" s="5">
        <f t="shared" si="15"/>
        <v>7</v>
      </c>
      <c r="AV6" s="5">
        <f t="shared" si="16"/>
        <v>4</v>
      </c>
    </row>
    <row r="7" spans="1:48" x14ac:dyDescent="0.25">
      <c r="A7" s="6" t="s">
        <v>45</v>
      </c>
      <c r="B7" s="7">
        <v>40</v>
      </c>
      <c r="C7" s="1">
        <v>8074</v>
      </c>
      <c r="D7" s="9">
        <v>0.47499999999999998</v>
      </c>
      <c r="E7" s="9">
        <v>13</v>
      </c>
      <c r="F7" s="9"/>
      <c r="G7" s="9">
        <v>0.66800000000000004</v>
      </c>
      <c r="H7" s="9">
        <v>0.23200000000000001</v>
      </c>
      <c r="I7" s="9">
        <v>0.23599999999999999</v>
      </c>
      <c r="J7" s="9">
        <v>0.106</v>
      </c>
      <c r="K7" s="9">
        <v>9.2999999999999999E-2</v>
      </c>
      <c r="L7" s="9">
        <v>0.33200000000000002</v>
      </c>
      <c r="M7" s="9"/>
      <c r="N7" s="9">
        <v>0.53</v>
      </c>
      <c r="O7" s="9">
        <v>0.70499999999999996</v>
      </c>
      <c r="P7" s="9">
        <v>0.46800000000000003</v>
      </c>
      <c r="Q7" s="9">
        <v>0.4</v>
      </c>
      <c r="R7" s="9">
        <v>0.39700000000000002</v>
      </c>
      <c r="S7" s="9">
        <v>0.36499999999999999</v>
      </c>
      <c r="T7" s="9"/>
      <c r="U7" s="9">
        <v>0.62</v>
      </c>
      <c r="V7" s="9">
        <v>0.89800000000000002</v>
      </c>
      <c r="W7" s="9"/>
      <c r="X7" s="10">
        <v>0.19700000000000001</v>
      </c>
      <c r="Y7" s="10">
        <v>0.35699999999999998</v>
      </c>
      <c r="Z7" s="5"/>
      <c r="AA7" s="5"/>
      <c r="AB7" s="5">
        <f t="shared" si="0"/>
        <v>12</v>
      </c>
      <c r="AC7" s="5"/>
      <c r="AD7" s="5">
        <f t="shared" si="1"/>
        <v>5</v>
      </c>
      <c r="AE7" s="5">
        <f t="shared" si="2"/>
        <v>9</v>
      </c>
      <c r="AF7" s="5">
        <f t="shared" si="3"/>
        <v>4</v>
      </c>
      <c r="AG7" s="5">
        <f t="shared" si="4"/>
        <v>6</v>
      </c>
      <c r="AH7" s="5">
        <f t="shared" si="5"/>
        <v>7</v>
      </c>
      <c r="AI7" s="5">
        <f t="shared" si="6"/>
        <v>8</v>
      </c>
      <c r="AJ7" s="5"/>
      <c r="AK7" s="5">
        <f t="shared" si="7"/>
        <v>12</v>
      </c>
      <c r="AL7" s="5">
        <f t="shared" si="8"/>
        <v>11</v>
      </c>
      <c r="AM7" s="5">
        <f t="shared" si="9"/>
        <v>12</v>
      </c>
      <c r="AN7" s="5">
        <f t="shared" si="10"/>
        <v>8</v>
      </c>
      <c r="AO7" s="5">
        <f t="shared" si="11"/>
        <v>9</v>
      </c>
      <c r="AP7" s="5">
        <f t="shared" si="12"/>
        <v>12</v>
      </c>
      <c r="AQ7" s="5"/>
      <c r="AR7" s="5">
        <f t="shared" si="13"/>
        <v>8</v>
      </c>
      <c r="AS7" s="5">
        <f t="shared" si="14"/>
        <v>12</v>
      </c>
      <c r="AT7" s="5"/>
      <c r="AU7" s="5">
        <f t="shared" si="15"/>
        <v>9</v>
      </c>
      <c r="AV7" s="5">
        <f t="shared" si="16"/>
        <v>7</v>
      </c>
    </row>
    <row r="8" spans="1:48" x14ac:dyDescent="0.25">
      <c r="A8" s="6" t="s">
        <v>51</v>
      </c>
      <c r="B8" s="7">
        <v>40</v>
      </c>
      <c r="C8" s="1">
        <v>8024</v>
      </c>
      <c r="D8" s="9">
        <v>0.441</v>
      </c>
      <c r="E8" s="9">
        <v>14</v>
      </c>
      <c r="F8" s="9"/>
      <c r="G8" s="9">
        <v>0.63800000000000001</v>
      </c>
      <c r="H8" s="9">
        <v>0.22800000000000001</v>
      </c>
      <c r="I8" s="9">
        <v>0.20899999999999999</v>
      </c>
      <c r="J8" s="9">
        <v>0.112</v>
      </c>
      <c r="K8" s="9">
        <v>0.09</v>
      </c>
      <c r="L8" s="9">
        <v>0.36199999999999999</v>
      </c>
      <c r="M8" s="9"/>
      <c r="N8" s="9">
        <v>0.48699999999999999</v>
      </c>
      <c r="O8" s="9">
        <v>0.60799999999999998</v>
      </c>
      <c r="P8" s="9">
        <v>0.44800000000000001</v>
      </c>
      <c r="Q8" s="9">
        <v>0.375</v>
      </c>
      <c r="R8" s="9">
        <v>0.40799999999999997</v>
      </c>
      <c r="S8" s="9">
        <v>0.36099999999999999</v>
      </c>
      <c r="T8" s="9"/>
      <c r="U8" s="9">
        <v>0.60299999999999998</v>
      </c>
      <c r="V8" s="9">
        <v>0.88900000000000001</v>
      </c>
      <c r="W8" s="9"/>
      <c r="X8" s="10">
        <v>0.193</v>
      </c>
      <c r="Y8" s="10">
        <v>0.39600000000000002</v>
      </c>
      <c r="Z8" s="5"/>
      <c r="AA8" s="5"/>
      <c r="AB8" s="5">
        <f t="shared" si="0"/>
        <v>8</v>
      </c>
      <c r="AC8" s="5"/>
      <c r="AD8" s="5">
        <f t="shared" si="1"/>
        <v>2</v>
      </c>
      <c r="AE8" s="5">
        <f t="shared" si="2"/>
        <v>8</v>
      </c>
      <c r="AF8" s="5">
        <f t="shared" si="3"/>
        <v>2</v>
      </c>
      <c r="AG8" s="5">
        <f t="shared" si="4"/>
        <v>9</v>
      </c>
      <c r="AH8" s="5">
        <f t="shared" si="5"/>
        <v>4</v>
      </c>
      <c r="AI8" s="5">
        <f t="shared" si="6"/>
        <v>11</v>
      </c>
      <c r="AJ8" s="5"/>
      <c r="AK8" s="5">
        <f t="shared" si="7"/>
        <v>7</v>
      </c>
      <c r="AL8" s="5">
        <f t="shared" si="8"/>
        <v>1</v>
      </c>
      <c r="AM8" s="5">
        <f t="shared" si="9"/>
        <v>10</v>
      </c>
      <c r="AN8" s="5">
        <f t="shared" si="10"/>
        <v>4</v>
      </c>
      <c r="AO8" s="5">
        <f t="shared" si="11"/>
        <v>11</v>
      </c>
      <c r="AP8" s="5">
        <f t="shared" si="12"/>
        <v>11</v>
      </c>
      <c r="AQ8" s="5"/>
      <c r="AR8" s="5">
        <f t="shared" si="13"/>
        <v>3</v>
      </c>
      <c r="AS8" s="5">
        <f t="shared" si="14"/>
        <v>9</v>
      </c>
      <c r="AT8" s="5"/>
      <c r="AU8" s="5">
        <f t="shared" si="15"/>
        <v>7</v>
      </c>
      <c r="AV8" s="5">
        <f t="shared" si="16"/>
        <v>10</v>
      </c>
    </row>
    <row r="9" spans="1:48" x14ac:dyDescent="0.25">
      <c r="A9" s="6" t="s">
        <v>44</v>
      </c>
      <c r="B9" s="7">
        <v>40</v>
      </c>
      <c r="C9" s="1">
        <v>8024</v>
      </c>
      <c r="D9" s="9">
        <v>0.46400000000000002</v>
      </c>
      <c r="E9" s="9">
        <v>13</v>
      </c>
      <c r="F9" s="9"/>
      <c r="G9" s="9">
        <v>0.68</v>
      </c>
      <c r="H9" s="9">
        <v>0.23499999999999999</v>
      </c>
      <c r="I9" s="9">
        <v>0.248</v>
      </c>
      <c r="J9" s="9">
        <v>0.10100000000000001</v>
      </c>
      <c r="K9" s="9">
        <v>9.6000000000000002E-2</v>
      </c>
      <c r="L9" s="9">
        <v>0.32</v>
      </c>
      <c r="M9" s="9"/>
      <c r="N9" s="9">
        <v>0.51300000000000001</v>
      </c>
      <c r="O9" s="9">
        <v>0.68600000000000005</v>
      </c>
      <c r="P9" s="9">
        <v>0.44400000000000001</v>
      </c>
      <c r="Q9" s="9">
        <v>0.40799999999999997</v>
      </c>
      <c r="R9" s="9">
        <v>0.378</v>
      </c>
      <c r="S9" s="9">
        <v>0.36</v>
      </c>
      <c r="T9" s="9"/>
      <c r="U9" s="9">
        <v>0.60499999999999998</v>
      </c>
      <c r="V9" s="9">
        <v>0.879</v>
      </c>
      <c r="W9" s="9"/>
      <c r="X9" s="10">
        <v>0.17199999999999999</v>
      </c>
      <c r="Y9" s="10">
        <v>0.42</v>
      </c>
      <c r="Z9" s="5"/>
      <c r="AA9" s="5"/>
      <c r="AB9" s="5">
        <f t="shared" si="0"/>
        <v>11</v>
      </c>
      <c r="AC9" s="5"/>
      <c r="AD9" s="5">
        <f t="shared" si="1"/>
        <v>9</v>
      </c>
      <c r="AE9" s="5">
        <f t="shared" si="2"/>
        <v>10</v>
      </c>
      <c r="AF9" s="5">
        <f t="shared" si="3"/>
        <v>7</v>
      </c>
      <c r="AG9" s="5">
        <f t="shared" si="4"/>
        <v>2</v>
      </c>
      <c r="AH9" s="5">
        <f t="shared" si="5"/>
        <v>8</v>
      </c>
      <c r="AI9" s="5">
        <f t="shared" si="6"/>
        <v>4</v>
      </c>
      <c r="AJ9" s="5"/>
      <c r="AK9" s="5">
        <f t="shared" si="7"/>
        <v>11</v>
      </c>
      <c r="AL9" s="5">
        <f t="shared" si="8"/>
        <v>9</v>
      </c>
      <c r="AM9" s="5">
        <f t="shared" si="9"/>
        <v>9</v>
      </c>
      <c r="AN9" s="5">
        <f t="shared" si="10"/>
        <v>10</v>
      </c>
      <c r="AO9" s="5">
        <f t="shared" si="11"/>
        <v>7</v>
      </c>
      <c r="AP9" s="5">
        <f t="shared" si="12"/>
        <v>10</v>
      </c>
      <c r="AQ9" s="5"/>
      <c r="AR9" s="5">
        <f t="shared" si="13"/>
        <v>4</v>
      </c>
      <c r="AS9" s="5">
        <f t="shared" si="14"/>
        <v>6</v>
      </c>
      <c r="AT9" s="5"/>
      <c r="AU9" s="5">
        <f t="shared" si="15"/>
        <v>3</v>
      </c>
      <c r="AV9" s="5">
        <f t="shared" si="16"/>
        <v>12</v>
      </c>
    </row>
    <row r="10" spans="1:48" x14ac:dyDescent="0.25">
      <c r="A10" s="6" t="s">
        <v>49</v>
      </c>
      <c r="B10" s="7">
        <v>40</v>
      </c>
      <c r="C10" s="1">
        <v>8024</v>
      </c>
      <c r="D10" s="9">
        <v>0.433</v>
      </c>
      <c r="E10" s="9">
        <v>14</v>
      </c>
      <c r="F10" s="9"/>
      <c r="G10" s="9">
        <v>0.68400000000000005</v>
      </c>
      <c r="H10" s="9">
        <v>0.13400000000000001</v>
      </c>
      <c r="I10" s="9">
        <v>0.312</v>
      </c>
      <c r="J10" s="9">
        <v>0.128</v>
      </c>
      <c r="K10" s="9">
        <v>0.11</v>
      </c>
      <c r="L10" s="9">
        <v>0.316</v>
      </c>
      <c r="M10" s="9"/>
      <c r="N10" s="9">
        <v>0.47099999999999997</v>
      </c>
      <c r="O10" s="9">
        <v>0.64200000000000002</v>
      </c>
      <c r="P10" s="9">
        <v>0.46</v>
      </c>
      <c r="Q10" s="9">
        <v>0.38900000000000001</v>
      </c>
      <c r="R10" s="9">
        <v>0.38400000000000001</v>
      </c>
      <c r="S10" s="9">
        <v>0.35</v>
      </c>
      <c r="T10" s="9"/>
      <c r="U10" s="9">
        <v>0.6</v>
      </c>
      <c r="V10" s="9">
        <v>0.84099999999999997</v>
      </c>
      <c r="W10" s="9"/>
      <c r="X10" s="10">
        <v>0.16</v>
      </c>
      <c r="Y10" s="10">
        <v>0.41099999999999998</v>
      </c>
      <c r="Z10" s="5"/>
      <c r="AA10" s="5"/>
      <c r="AB10" s="5">
        <f t="shared" si="0"/>
        <v>7</v>
      </c>
      <c r="AC10" s="5"/>
      <c r="AD10" s="5">
        <f t="shared" si="1"/>
        <v>10</v>
      </c>
      <c r="AE10" s="5">
        <f t="shared" si="2"/>
        <v>1</v>
      </c>
      <c r="AF10" s="5">
        <f t="shared" si="3"/>
        <v>12</v>
      </c>
      <c r="AG10" s="5">
        <f t="shared" si="4"/>
        <v>12</v>
      </c>
      <c r="AH10" s="5">
        <f t="shared" si="5"/>
        <v>12</v>
      </c>
      <c r="AI10" s="5">
        <f t="shared" si="6"/>
        <v>3</v>
      </c>
      <c r="AJ10" s="5"/>
      <c r="AK10" s="5">
        <f t="shared" si="7"/>
        <v>3</v>
      </c>
      <c r="AL10" s="5">
        <f t="shared" si="8"/>
        <v>5</v>
      </c>
      <c r="AM10" s="5">
        <f t="shared" si="9"/>
        <v>11</v>
      </c>
      <c r="AN10" s="5">
        <f t="shared" si="10"/>
        <v>5</v>
      </c>
      <c r="AO10" s="5">
        <f t="shared" si="11"/>
        <v>8</v>
      </c>
      <c r="AP10" s="5">
        <f t="shared" si="12"/>
        <v>9</v>
      </c>
      <c r="AQ10" s="5"/>
      <c r="AR10" s="5">
        <f t="shared" si="13"/>
        <v>2</v>
      </c>
      <c r="AS10" s="5">
        <f t="shared" si="14"/>
        <v>2</v>
      </c>
      <c r="AT10" s="5"/>
      <c r="AU10" s="5">
        <f t="shared" si="15"/>
        <v>2</v>
      </c>
      <c r="AV10" s="5">
        <f t="shared" si="16"/>
        <v>11</v>
      </c>
    </row>
    <row r="11" spans="1:48" x14ac:dyDescent="0.25">
      <c r="A11" s="6" t="s">
        <v>48</v>
      </c>
      <c r="B11" s="7">
        <v>40</v>
      </c>
      <c r="C11" s="1">
        <v>8074</v>
      </c>
      <c r="D11" s="9">
        <v>0.41</v>
      </c>
      <c r="E11" s="9">
        <v>13</v>
      </c>
      <c r="F11" s="9"/>
      <c r="G11" s="9">
        <v>0.67</v>
      </c>
      <c r="H11" s="9">
        <v>0.22</v>
      </c>
      <c r="I11" s="9">
        <v>0.23799999999999999</v>
      </c>
      <c r="J11" s="9">
        <v>0.113</v>
      </c>
      <c r="K11" s="9">
        <v>9.8000000000000004E-2</v>
      </c>
      <c r="L11" s="9">
        <v>0.33</v>
      </c>
      <c r="M11" s="9"/>
      <c r="N11" s="9">
        <v>0.46400000000000002</v>
      </c>
      <c r="O11" s="9">
        <v>0.624</v>
      </c>
      <c r="P11" s="9">
        <v>0.42799999999999999</v>
      </c>
      <c r="Q11" s="9">
        <v>0.30399999999999999</v>
      </c>
      <c r="R11" s="9">
        <v>0.374</v>
      </c>
      <c r="S11" s="9">
        <v>0.30099999999999999</v>
      </c>
      <c r="T11" s="9"/>
      <c r="U11" s="9">
        <v>0.58899999999999997</v>
      </c>
      <c r="V11" s="9">
        <v>0.875</v>
      </c>
      <c r="W11" s="9"/>
      <c r="X11" s="10">
        <v>0.184</v>
      </c>
      <c r="Y11" s="10">
        <v>0.30499999999999999</v>
      </c>
      <c r="Z11" s="5"/>
      <c r="AA11" s="5"/>
      <c r="AB11" s="5">
        <f t="shared" si="0"/>
        <v>1</v>
      </c>
      <c r="AC11" s="5"/>
      <c r="AD11" s="5">
        <f t="shared" si="1"/>
        <v>6</v>
      </c>
      <c r="AE11" s="5">
        <f t="shared" si="2"/>
        <v>6</v>
      </c>
      <c r="AF11" s="5">
        <f t="shared" si="3"/>
        <v>5</v>
      </c>
      <c r="AG11" s="5">
        <f t="shared" si="4"/>
        <v>10</v>
      </c>
      <c r="AH11" s="5">
        <f t="shared" si="5"/>
        <v>9</v>
      </c>
      <c r="AI11" s="5">
        <f t="shared" si="6"/>
        <v>7</v>
      </c>
      <c r="AJ11" s="5"/>
      <c r="AK11" s="5">
        <f t="shared" si="7"/>
        <v>1</v>
      </c>
      <c r="AL11" s="5">
        <f t="shared" si="8"/>
        <v>4</v>
      </c>
      <c r="AM11" s="5">
        <f t="shared" si="9"/>
        <v>6</v>
      </c>
      <c r="AN11" s="5">
        <f t="shared" si="10"/>
        <v>1</v>
      </c>
      <c r="AO11" s="5">
        <f t="shared" si="11"/>
        <v>5</v>
      </c>
      <c r="AP11" s="5">
        <f t="shared" si="12"/>
        <v>1</v>
      </c>
      <c r="AQ11" s="5"/>
      <c r="AR11" s="5">
        <f t="shared" si="13"/>
        <v>1</v>
      </c>
      <c r="AS11" s="5">
        <f t="shared" si="14"/>
        <v>5</v>
      </c>
      <c r="AT11" s="5"/>
      <c r="AU11" s="5">
        <f t="shared" si="15"/>
        <v>4</v>
      </c>
      <c r="AV11" s="5">
        <f t="shared" si="16"/>
        <v>2</v>
      </c>
    </row>
    <row r="12" spans="1:48" x14ac:dyDescent="0.25">
      <c r="A12" s="6" t="s">
        <v>46</v>
      </c>
      <c r="B12" s="7">
        <v>40</v>
      </c>
      <c r="C12" s="1">
        <v>7999</v>
      </c>
      <c r="D12" s="9">
        <v>0.42499999999999999</v>
      </c>
      <c r="E12" s="9">
        <v>13</v>
      </c>
      <c r="F12" s="9"/>
      <c r="G12" s="9">
        <v>0.68500000000000005</v>
      </c>
      <c r="H12" s="9">
        <v>0.20499999999999999</v>
      </c>
      <c r="I12" s="9">
        <v>0.28299999999999997</v>
      </c>
      <c r="J12" s="9">
        <v>0.106</v>
      </c>
      <c r="K12" s="9">
        <v>9.0999999999999998E-2</v>
      </c>
      <c r="L12" s="9">
        <v>0.315</v>
      </c>
      <c r="M12" s="9"/>
      <c r="N12" s="9">
        <v>0.47199999999999998</v>
      </c>
      <c r="O12" s="9">
        <v>0.60899999999999999</v>
      </c>
      <c r="P12" s="9">
        <v>0.42</v>
      </c>
      <c r="Q12" s="9">
        <v>0.42799999999999999</v>
      </c>
      <c r="R12" s="9">
        <v>0.373</v>
      </c>
      <c r="S12" s="9">
        <v>0.32400000000000001</v>
      </c>
      <c r="T12" s="9"/>
      <c r="U12" s="9">
        <v>0.61799999999999999</v>
      </c>
      <c r="V12" s="9">
        <v>0.82799999999999996</v>
      </c>
      <c r="W12" s="9"/>
      <c r="X12" s="10">
        <v>0.155</v>
      </c>
      <c r="Y12" s="10">
        <v>0.33100000000000002</v>
      </c>
      <c r="Z12" s="5"/>
      <c r="AA12" s="5"/>
      <c r="AB12" s="5">
        <f t="shared" si="0"/>
        <v>2</v>
      </c>
      <c r="AC12" s="5"/>
      <c r="AD12" s="5">
        <f t="shared" si="1"/>
        <v>11</v>
      </c>
      <c r="AE12" s="5">
        <f t="shared" si="2"/>
        <v>4</v>
      </c>
      <c r="AF12" s="5">
        <f t="shared" si="3"/>
        <v>11</v>
      </c>
      <c r="AG12" s="5">
        <f t="shared" si="4"/>
        <v>6</v>
      </c>
      <c r="AH12" s="5">
        <f t="shared" si="5"/>
        <v>6</v>
      </c>
      <c r="AI12" s="5">
        <f t="shared" si="6"/>
        <v>2</v>
      </c>
      <c r="AJ12" s="5"/>
      <c r="AK12" s="5">
        <f t="shared" si="7"/>
        <v>4</v>
      </c>
      <c r="AL12" s="5">
        <f t="shared" si="8"/>
        <v>2</v>
      </c>
      <c r="AM12" s="5">
        <f t="shared" si="9"/>
        <v>4</v>
      </c>
      <c r="AN12" s="5">
        <f t="shared" si="10"/>
        <v>11</v>
      </c>
      <c r="AO12" s="5">
        <f t="shared" si="11"/>
        <v>4</v>
      </c>
      <c r="AP12" s="5">
        <f t="shared" si="12"/>
        <v>3</v>
      </c>
      <c r="AQ12" s="5"/>
      <c r="AR12" s="5">
        <f t="shared" si="13"/>
        <v>7</v>
      </c>
      <c r="AS12" s="5">
        <f t="shared" si="14"/>
        <v>1</v>
      </c>
      <c r="AT12" s="5"/>
      <c r="AU12" s="5">
        <f t="shared" si="15"/>
        <v>1</v>
      </c>
      <c r="AV12" s="5">
        <f t="shared" si="16"/>
        <v>3</v>
      </c>
    </row>
    <row r="13" spans="1:48" x14ac:dyDescent="0.25">
      <c r="A13" s="6" t="s">
        <v>53</v>
      </c>
      <c r="B13" s="7">
        <v>40</v>
      </c>
      <c r="C13" s="1">
        <v>8049</v>
      </c>
      <c r="D13" s="9">
        <v>0.43099999999999999</v>
      </c>
      <c r="E13" s="9">
        <v>14</v>
      </c>
      <c r="F13" s="9"/>
      <c r="G13" s="9">
        <v>0.61899999999999999</v>
      </c>
      <c r="H13" s="9">
        <v>0.17599999999999999</v>
      </c>
      <c r="I13" s="9">
        <v>0.24099999999999999</v>
      </c>
      <c r="J13" s="9">
        <v>0.10199999999999999</v>
      </c>
      <c r="K13" s="9">
        <v>0.1</v>
      </c>
      <c r="L13" s="9">
        <v>0.38100000000000001</v>
      </c>
      <c r="M13" s="9"/>
      <c r="N13" s="9">
        <v>0.48599999999999999</v>
      </c>
      <c r="O13" s="9">
        <v>0.70699999999999996</v>
      </c>
      <c r="P13" s="9">
        <v>0.42299999999999999</v>
      </c>
      <c r="Q13" s="9">
        <v>0.39</v>
      </c>
      <c r="R13" s="9">
        <v>0.34699999999999998</v>
      </c>
      <c r="S13" s="9">
        <v>0.34200000000000003</v>
      </c>
      <c r="T13" s="9"/>
      <c r="U13" s="9">
        <v>0.64100000000000001</v>
      </c>
      <c r="V13" s="9">
        <v>0.872</v>
      </c>
      <c r="W13" s="9"/>
      <c r="X13" s="10">
        <v>0.185</v>
      </c>
      <c r="Y13" s="10">
        <v>0.35599999999999998</v>
      </c>
      <c r="Z13" s="5"/>
      <c r="AA13" s="5"/>
      <c r="AB13" s="5">
        <f t="shared" si="0"/>
        <v>5</v>
      </c>
      <c r="AC13" s="5"/>
      <c r="AD13" s="5">
        <f t="shared" si="1"/>
        <v>1</v>
      </c>
      <c r="AE13" s="5">
        <f t="shared" si="2"/>
        <v>2</v>
      </c>
      <c r="AF13" s="5">
        <f t="shared" si="3"/>
        <v>6</v>
      </c>
      <c r="AG13" s="5">
        <f t="shared" si="4"/>
        <v>3</v>
      </c>
      <c r="AH13" s="5">
        <f t="shared" si="5"/>
        <v>10</v>
      </c>
      <c r="AI13" s="5">
        <f t="shared" si="6"/>
        <v>12</v>
      </c>
      <c r="AJ13" s="5"/>
      <c r="AK13" s="5">
        <f t="shared" si="7"/>
        <v>6</v>
      </c>
      <c r="AL13" s="5">
        <f t="shared" si="8"/>
        <v>12</v>
      </c>
      <c r="AM13" s="5">
        <f t="shared" si="9"/>
        <v>5</v>
      </c>
      <c r="AN13" s="5">
        <f t="shared" si="10"/>
        <v>6</v>
      </c>
      <c r="AO13" s="5">
        <f t="shared" si="11"/>
        <v>2</v>
      </c>
      <c r="AP13" s="5">
        <f t="shared" si="12"/>
        <v>7</v>
      </c>
      <c r="AQ13" s="5"/>
      <c r="AR13" s="5">
        <f t="shared" si="13"/>
        <v>10</v>
      </c>
      <c r="AS13" s="5">
        <f t="shared" si="14"/>
        <v>3</v>
      </c>
      <c r="AT13" s="5"/>
      <c r="AU13" s="5">
        <f t="shared" si="15"/>
        <v>5</v>
      </c>
      <c r="AV13" s="5">
        <f t="shared" si="16"/>
        <v>6</v>
      </c>
    </row>
    <row r="14" spans="1:48" x14ac:dyDescent="0.25">
      <c r="A14" s="6" t="s">
        <v>50</v>
      </c>
      <c r="B14" s="7">
        <v>40</v>
      </c>
      <c r="C14" s="1">
        <v>8049</v>
      </c>
      <c r="D14" s="9">
        <v>0.42599999999999999</v>
      </c>
      <c r="E14" s="9">
        <v>13</v>
      </c>
      <c r="F14" s="9"/>
      <c r="G14" s="9">
        <v>0.68899999999999995</v>
      </c>
      <c r="H14" s="9">
        <v>0.22500000000000001</v>
      </c>
      <c r="I14" s="9">
        <v>0.27900000000000003</v>
      </c>
      <c r="J14" s="9">
        <v>0.104</v>
      </c>
      <c r="K14" s="9">
        <v>8.2000000000000003E-2</v>
      </c>
      <c r="L14" s="9">
        <v>0.311</v>
      </c>
      <c r="M14" s="9"/>
      <c r="N14" s="9">
        <v>0.46899999999999997</v>
      </c>
      <c r="O14" s="9">
        <v>0.65100000000000002</v>
      </c>
      <c r="P14" s="9">
        <v>0.41199999999999998</v>
      </c>
      <c r="Q14" s="9">
        <v>0.35499999999999998</v>
      </c>
      <c r="R14" s="9">
        <v>0.308</v>
      </c>
      <c r="S14" s="9">
        <v>0.32900000000000001</v>
      </c>
      <c r="T14" s="9"/>
      <c r="U14" s="9">
        <v>0.60799999999999998</v>
      </c>
      <c r="V14" s="9">
        <v>0.89500000000000002</v>
      </c>
      <c r="W14" s="9"/>
      <c r="X14" s="10">
        <v>0.187</v>
      </c>
      <c r="Y14" s="10">
        <v>0.38200000000000001</v>
      </c>
      <c r="Z14" s="5"/>
      <c r="AA14" s="5"/>
      <c r="AB14" s="5">
        <f t="shared" si="0"/>
        <v>3</v>
      </c>
      <c r="AC14" s="5"/>
      <c r="AD14" s="5">
        <f t="shared" si="1"/>
        <v>12</v>
      </c>
      <c r="AE14" s="5">
        <f t="shared" si="2"/>
        <v>7</v>
      </c>
      <c r="AF14" s="5">
        <f t="shared" si="3"/>
        <v>10</v>
      </c>
      <c r="AG14" s="5">
        <f t="shared" si="4"/>
        <v>5</v>
      </c>
      <c r="AH14" s="5">
        <f t="shared" si="5"/>
        <v>1</v>
      </c>
      <c r="AI14" s="5">
        <f t="shared" si="6"/>
        <v>1</v>
      </c>
      <c r="AJ14" s="5"/>
      <c r="AK14" s="5">
        <f t="shared" si="7"/>
        <v>2</v>
      </c>
      <c r="AL14" s="5">
        <f t="shared" si="8"/>
        <v>7</v>
      </c>
      <c r="AM14" s="5">
        <f t="shared" si="9"/>
        <v>3</v>
      </c>
      <c r="AN14" s="5">
        <f t="shared" si="10"/>
        <v>2</v>
      </c>
      <c r="AO14" s="5">
        <f t="shared" si="11"/>
        <v>1</v>
      </c>
      <c r="AP14" s="5">
        <f t="shared" si="12"/>
        <v>5</v>
      </c>
      <c r="AQ14" s="5"/>
      <c r="AR14" s="5">
        <f t="shared" si="13"/>
        <v>5</v>
      </c>
      <c r="AS14" s="5">
        <f t="shared" si="14"/>
        <v>10</v>
      </c>
      <c r="AT14" s="5"/>
      <c r="AU14" s="5">
        <f t="shared" si="15"/>
        <v>6</v>
      </c>
      <c r="AV14" s="5">
        <f t="shared" si="16"/>
        <v>9</v>
      </c>
    </row>
    <row r="15" spans="1:48" x14ac:dyDescent="0.25">
      <c r="A15" s="6" t="s">
        <v>42</v>
      </c>
      <c r="B15" s="7">
        <v>40</v>
      </c>
      <c r="C15" s="1">
        <v>8049</v>
      </c>
      <c r="D15" s="9">
        <v>0.443</v>
      </c>
      <c r="E15" s="9">
        <v>14</v>
      </c>
      <c r="F15" s="9"/>
      <c r="G15" s="9">
        <v>0.64700000000000002</v>
      </c>
      <c r="H15" s="9">
        <v>0.17699999999999999</v>
      </c>
      <c r="I15" s="9">
        <v>0.26900000000000002</v>
      </c>
      <c r="J15" s="9">
        <v>0.111</v>
      </c>
      <c r="K15" s="9">
        <v>8.8999999999999996E-2</v>
      </c>
      <c r="L15" s="9">
        <v>0.35299999999999998</v>
      </c>
      <c r="M15" s="9"/>
      <c r="N15" s="9">
        <v>0.504</v>
      </c>
      <c r="O15" s="9">
        <v>0.69899999999999995</v>
      </c>
      <c r="P15" s="9">
        <v>0.443</v>
      </c>
      <c r="Q15" s="9">
        <v>0.439</v>
      </c>
      <c r="R15" s="9">
        <v>0.377</v>
      </c>
      <c r="S15" s="9">
        <v>0.33300000000000002</v>
      </c>
      <c r="T15" s="9"/>
      <c r="U15" s="9">
        <v>0.61199999999999999</v>
      </c>
      <c r="V15" s="9">
        <v>0.88700000000000001</v>
      </c>
      <c r="W15" s="9"/>
      <c r="X15" s="10">
        <v>0.22800000000000001</v>
      </c>
      <c r="Y15" s="10">
        <v>0.34699999999999998</v>
      </c>
      <c r="Z15" s="5"/>
      <c r="AA15" s="5"/>
      <c r="AB15" s="5">
        <f t="shared" si="0"/>
        <v>9</v>
      </c>
      <c r="AC15" s="5"/>
      <c r="AD15" s="5">
        <f t="shared" si="1"/>
        <v>3</v>
      </c>
      <c r="AE15" s="5">
        <f t="shared" si="2"/>
        <v>3</v>
      </c>
      <c r="AF15" s="5">
        <f t="shared" si="3"/>
        <v>9</v>
      </c>
      <c r="AG15" s="5">
        <f t="shared" si="4"/>
        <v>8</v>
      </c>
      <c r="AH15" s="5">
        <f t="shared" si="5"/>
        <v>2</v>
      </c>
      <c r="AI15" s="5">
        <f t="shared" si="6"/>
        <v>10</v>
      </c>
      <c r="AJ15" s="5"/>
      <c r="AK15" s="5">
        <f t="shared" si="7"/>
        <v>10</v>
      </c>
      <c r="AL15" s="5">
        <f t="shared" si="8"/>
        <v>10</v>
      </c>
      <c r="AM15" s="5">
        <f t="shared" si="9"/>
        <v>8</v>
      </c>
      <c r="AN15" s="5">
        <f t="shared" si="10"/>
        <v>12</v>
      </c>
      <c r="AO15" s="5">
        <f t="shared" si="11"/>
        <v>6</v>
      </c>
      <c r="AP15" s="5">
        <f t="shared" si="12"/>
        <v>6</v>
      </c>
      <c r="AQ15" s="5"/>
      <c r="AR15" s="5">
        <f t="shared" si="13"/>
        <v>6</v>
      </c>
      <c r="AS15" s="5">
        <f t="shared" si="14"/>
        <v>8</v>
      </c>
      <c r="AT15" s="5"/>
      <c r="AU15" s="5">
        <f t="shared" si="15"/>
        <v>12</v>
      </c>
      <c r="AV15" s="5">
        <f t="shared" si="16"/>
        <v>5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40</v>
      </c>
      <c r="C24" s="9">
        <f t="shared" ref="C24:Y24" si="17">AVERAGE(C4:C18)</f>
        <v>8040.75</v>
      </c>
      <c r="D24" s="9">
        <f t="shared" si="17"/>
        <v>0.4378333333333333</v>
      </c>
      <c r="E24" s="9">
        <f t="shared" si="17"/>
        <v>13.333333333333334</v>
      </c>
      <c r="F24" s="9"/>
      <c r="G24" s="9">
        <f t="shared" si="17"/>
        <v>0.66566666666666663</v>
      </c>
      <c r="H24" s="9">
        <f t="shared" si="17"/>
        <v>0.21308333333333332</v>
      </c>
      <c r="I24" s="9">
        <f t="shared" si="17"/>
        <v>0.24958333333333335</v>
      </c>
      <c r="J24" s="9">
        <f t="shared" si="17"/>
        <v>0.10875000000000001</v>
      </c>
      <c r="K24" s="9">
        <f t="shared" si="17"/>
        <v>9.4249999999999987E-2</v>
      </c>
      <c r="L24" s="9">
        <f t="shared" si="17"/>
        <v>0.33433333333333332</v>
      </c>
      <c r="M24" s="9"/>
      <c r="N24" s="9">
        <f t="shared" si="17"/>
        <v>0.48833333333333329</v>
      </c>
      <c r="O24" s="9">
        <f t="shared" si="17"/>
        <v>0.65483333333333327</v>
      </c>
      <c r="P24" s="9">
        <f t="shared" si="17"/>
        <v>0.43099999999999988</v>
      </c>
      <c r="Q24" s="9">
        <f t="shared" si="17"/>
        <v>0.38666666666666671</v>
      </c>
      <c r="R24" s="9">
        <f t="shared" si="17"/>
        <v>0.37816666666666671</v>
      </c>
      <c r="S24" s="9">
        <f t="shared" si="17"/>
        <v>0.33733333333333332</v>
      </c>
      <c r="T24" s="9"/>
      <c r="U24" s="9">
        <f t="shared" si="17"/>
        <v>0.62</v>
      </c>
      <c r="V24" s="9">
        <f t="shared" si="17"/>
        <v>0.87608333333333333</v>
      </c>
      <c r="W24" s="9"/>
      <c r="X24" s="9">
        <f t="shared" si="17"/>
        <v>0.18933333333333335</v>
      </c>
      <c r="Y24" s="9">
        <f t="shared" si="17"/>
        <v>0.35716666666666663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2026-09-01T12:23:18Z</dcterms:modified>
</cp:coreProperties>
</file>