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Swish Swish\WNBA_STATS_TEAM\"/>
    </mc:Choice>
  </mc:AlternateContent>
  <xr:revisionPtr revIDLastSave="0" documentId="8_{A84C64F4-F234-4BB8-8044-868204724C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VANCED" sheetId="3" r:id="rId1"/>
    <sheet name="SHOOTING" sheetId="4" r:id="rId2"/>
    <sheet name="SHOOTING OPPONENT" sheetId="5" r:id="rId3"/>
  </sheets>
  <definedNames>
    <definedName name="_xlnm._FilterDatabase" localSheetId="0" hidden="1">ADVANCED!$A$3:$Z$3</definedName>
    <definedName name="_xlnm._FilterDatabase" localSheetId="1" hidden="1">SHOOTING!$A$3:$W$3</definedName>
    <definedName name="_xlnm._FilterDatabase" localSheetId="2" hidden="1">'SHOOTING OPPONENT'!$A$3:$W$3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V5" i="5" l="1"/>
  <c r="AV6" i="5"/>
  <c r="AV7" i="5"/>
  <c r="AV8" i="5"/>
  <c r="AV9" i="5"/>
  <c r="AV10" i="5"/>
  <c r="AV11" i="5"/>
  <c r="AV12" i="5"/>
  <c r="AV13" i="5"/>
  <c r="AV14" i="5"/>
  <c r="AV15" i="5"/>
  <c r="AV16" i="5"/>
  <c r="AV17" i="5"/>
  <c r="AV4" i="5"/>
  <c r="AU5" i="5"/>
  <c r="AU6" i="5"/>
  <c r="AU7" i="5"/>
  <c r="AU8" i="5"/>
  <c r="AU9" i="5"/>
  <c r="AU10" i="5"/>
  <c r="AU11" i="5"/>
  <c r="AU12" i="5"/>
  <c r="AU13" i="5"/>
  <c r="AU14" i="5"/>
  <c r="AU15" i="5"/>
  <c r="AU16" i="5"/>
  <c r="AU17" i="5"/>
  <c r="AU4" i="5"/>
  <c r="AS5" i="5"/>
  <c r="AS6" i="5"/>
  <c r="AS7" i="5"/>
  <c r="AS8" i="5"/>
  <c r="AS9" i="5"/>
  <c r="AS10" i="5"/>
  <c r="AS11" i="5"/>
  <c r="AS12" i="5"/>
  <c r="AS13" i="5"/>
  <c r="AS14" i="5"/>
  <c r="AS15" i="5"/>
  <c r="AS16" i="5"/>
  <c r="AS17" i="5"/>
  <c r="AS4" i="5"/>
  <c r="AR5" i="5"/>
  <c r="AR6" i="5"/>
  <c r="AR7" i="5"/>
  <c r="AR8" i="5"/>
  <c r="AR9" i="5"/>
  <c r="AR10" i="5"/>
  <c r="AR11" i="5"/>
  <c r="AR12" i="5"/>
  <c r="AR13" i="5"/>
  <c r="AR14" i="5"/>
  <c r="AR15" i="5"/>
  <c r="AR16" i="5"/>
  <c r="AR17" i="5"/>
  <c r="AR4" i="5"/>
  <c r="AP5" i="5"/>
  <c r="AP6" i="5"/>
  <c r="AP7" i="5"/>
  <c r="AP8" i="5"/>
  <c r="AP9" i="5"/>
  <c r="AP10" i="5"/>
  <c r="AP11" i="5"/>
  <c r="AP12" i="5"/>
  <c r="AP13" i="5"/>
  <c r="AP14" i="5"/>
  <c r="AP15" i="5"/>
  <c r="AP16" i="5"/>
  <c r="AP17" i="5"/>
  <c r="AP4" i="5"/>
  <c r="AO5" i="5"/>
  <c r="AO6" i="5"/>
  <c r="AO7" i="5"/>
  <c r="AO8" i="5"/>
  <c r="AO9" i="5"/>
  <c r="AO10" i="5"/>
  <c r="AO11" i="5"/>
  <c r="AO12" i="5"/>
  <c r="AO13" i="5"/>
  <c r="AO14" i="5"/>
  <c r="AO15" i="5"/>
  <c r="AO16" i="5"/>
  <c r="AO17" i="5"/>
  <c r="AO4" i="5"/>
  <c r="AN5" i="5"/>
  <c r="AN6" i="5"/>
  <c r="AN7" i="5"/>
  <c r="AN8" i="5"/>
  <c r="AN9" i="5"/>
  <c r="AN10" i="5"/>
  <c r="AN11" i="5"/>
  <c r="AN12" i="5"/>
  <c r="AN13" i="5"/>
  <c r="AN14" i="5"/>
  <c r="AN15" i="5"/>
  <c r="AN16" i="5"/>
  <c r="AN17" i="5"/>
  <c r="AN4" i="5"/>
  <c r="AM5" i="5"/>
  <c r="AM6" i="5"/>
  <c r="AM7" i="5"/>
  <c r="AM8" i="5"/>
  <c r="AM9" i="5"/>
  <c r="AM10" i="5"/>
  <c r="AM11" i="5"/>
  <c r="AM12" i="5"/>
  <c r="AM13" i="5"/>
  <c r="AM14" i="5"/>
  <c r="AM15" i="5"/>
  <c r="AM16" i="5"/>
  <c r="AM17" i="5"/>
  <c r="AM4" i="5"/>
  <c r="AL5" i="5"/>
  <c r="AL6" i="5"/>
  <c r="AL7" i="5"/>
  <c r="AL8" i="5"/>
  <c r="AL9" i="5"/>
  <c r="AL10" i="5"/>
  <c r="AL11" i="5"/>
  <c r="AL12" i="5"/>
  <c r="AL13" i="5"/>
  <c r="AL14" i="5"/>
  <c r="AL15" i="5"/>
  <c r="AL16" i="5"/>
  <c r="AL17" i="5"/>
  <c r="AL4" i="5"/>
  <c r="AK5" i="5"/>
  <c r="AK6" i="5"/>
  <c r="AK7" i="5"/>
  <c r="AK8" i="5"/>
  <c r="AK9" i="5"/>
  <c r="AK10" i="5"/>
  <c r="AK11" i="5"/>
  <c r="AK12" i="5"/>
  <c r="AK13" i="5"/>
  <c r="AK14" i="5"/>
  <c r="AK15" i="5"/>
  <c r="AK16" i="5"/>
  <c r="AK17" i="5"/>
  <c r="AK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17" i="5"/>
  <c r="AH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4" i="5"/>
  <c r="BA5" i="3"/>
  <c r="BA6" i="3"/>
  <c r="BA7" i="3"/>
  <c r="BA8" i="3"/>
  <c r="BA9" i="3"/>
  <c r="BA10" i="3"/>
  <c r="BA11" i="3"/>
  <c r="BA12" i="3"/>
  <c r="BA13" i="3"/>
  <c r="BA14" i="3"/>
  <c r="BA15" i="3"/>
  <c r="BA16" i="3"/>
  <c r="BA17" i="3"/>
  <c r="BA4" i="3"/>
  <c r="AX5" i="3"/>
  <c r="AX6" i="3"/>
  <c r="AX7" i="3"/>
  <c r="AX8" i="3"/>
  <c r="AX9" i="3"/>
  <c r="AX10" i="3"/>
  <c r="AX11" i="3"/>
  <c r="AX12" i="3"/>
  <c r="AX13" i="3"/>
  <c r="AX14" i="3"/>
  <c r="AX15" i="3"/>
  <c r="AX16" i="3"/>
  <c r="AX17" i="3"/>
  <c r="AX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G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4" i="3"/>
  <c r="Y24" i="5"/>
  <c r="X24" i="5"/>
  <c r="V24" i="5"/>
  <c r="U24" i="5"/>
  <c r="S24" i="5"/>
  <c r="R24" i="5"/>
  <c r="Q24" i="5"/>
  <c r="P24" i="5"/>
  <c r="O24" i="5"/>
  <c r="N24" i="5"/>
  <c r="L24" i="5"/>
  <c r="K24" i="5"/>
  <c r="J24" i="5"/>
  <c r="I24" i="5"/>
  <c r="H24" i="5"/>
  <c r="G24" i="5"/>
  <c r="E24" i="5"/>
  <c r="D24" i="5"/>
  <c r="C24" i="5"/>
  <c r="B24" i="5"/>
  <c r="C24" i="4"/>
  <c r="D24" i="4"/>
  <c r="E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X24" i="4"/>
  <c r="Y24" i="4"/>
  <c r="B24" i="4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R24" i="3"/>
  <c r="S24" i="3"/>
  <c r="T24" i="3"/>
  <c r="U24" i="3"/>
  <c r="W24" i="3"/>
  <c r="X24" i="3"/>
  <c r="Y24" i="3"/>
  <c r="Z24" i="3"/>
  <c r="B24" i="3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4" i="4"/>
  <c r="AD4" i="4"/>
  <c r="AE4" i="4"/>
  <c r="AF4" i="4"/>
  <c r="AG4" i="4"/>
  <c r="AH4" i="4"/>
  <c r="AI4" i="4"/>
  <c r="AK4" i="4"/>
  <c r="AL4" i="4"/>
  <c r="AM4" i="4"/>
  <c r="AN4" i="4"/>
  <c r="AO4" i="4"/>
  <c r="AP4" i="4"/>
  <c r="AR4" i="4"/>
  <c r="AS4" i="4"/>
  <c r="AU4" i="4"/>
  <c r="AV4" i="4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V5" i="3"/>
  <c r="AV6" i="3"/>
  <c r="AV7" i="3"/>
  <c r="AV8" i="3"/>
  <c r="AV9" i="3"/>
  <c r="AV10" i="3"/>
  <c r="AV11" i="3"/>
  <c r="AV12" i="3"/>
  <c r="AV13" i="3"/>
  <c r="AV14" i="3"/>
  <c r="AV15" i="3"/>
  <c r="AV16" i="3"/>
  <c r="AV17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4" i="3"/>
  <c r="AF4" i="3"/>
  <c r="AH4" i="3"/>
  <c r="AI4" i="3"/>
  <c r="AJ4" i="3"/>
  <c r="AK4" i="3"/>
  <c r="AM4" i="3"/>
  <c r="AN4" i="3"/>
  <c r="AO4" i="3"/>
  <c r="AP4" i="3"/>
  <c r="AQ4" i="3"/>
  <c r="AS4" i="3"/>
  <c r="AU4" i="3"/>
  <c r="AV4" i="3"/>
  <c r="AY4" i="3"/>
  <c r="AZ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4" i="3"/>
</calcChain>
</file>

<file path=xl/sharedStrings.xml><?xml version="1.0" encoding="utf-8"?>
<sst xmlns="http://schemas.openxmlformats.org/spreadsheetml/2006/main" count="194" uniqueCount="56">
  <si>
    <t>ADVANCED</t>
  </si>
  <si>
    <t>Team</t>
  </si>
  <si>
    <t>TS%</t>
  </si>
  <si>
    <t>eFG%</t>
  </si>
  <si>
    <t>3PAr</t>
  </si>
  <si>
    <t>FTr</t>
  </si>
  <si>
    <t>ORB%</t>
  </si>
  <si>
    <t>TOV%</t>
  </si>
  <si>
    <t>ORtg</t>
  </si>
  <si>
    <t>DRtg</t>
  </si>
  <si>
    <t>NRtg</t>
  </si>
  <si>
    <t>Age</t>
  </si>
  <si>
    <t>W</t>
  </si>
  <si>
    <t>L</t>
  </si>
  <si>
    <t>PW</t>
  </si>
  <si>
    <t>PL</t>
  </si>
  <si>
    <t>MOV</t>
  </si>
  <si>
    <t>SOS</t>
  </si>
  <si>
    <t>SRS</t>
  </si>
  <si>
    <t>Pace</t>
  </si>
  <si>
    <t>FT/FGA</t>
  </si>
  <si>
    <t>DRB%</t>
  </si>
  <si>
    <t>OFFENSE 4 FACTORS</t>
  </si>
  <si>
    <t>DEFENSE 4 FACTORS</t>
  </si>
  <si>
    <t>STATS</t>
  </si>
  <si>
    <t>G</t>
  </si>
  <si>
    <t>MP</t>
  </si>
  <si>
    <t>FG%</t>
  </si>
  <si>
    <t>Dist</t>
  </si>
  <si>
    <t>2P</t>
  </si>
  <si>
    <t>0-3</t>
  </si>
  <si>
    <t>3-10</t>
  </si>
  <si>
    <t>10-16</t>
  </si>
  <si>
    <t>16-3P</t>
  </si>
  <si>
    <t>3P</t>
  </si>
  <si>
    <t>%3PA</t>
  </si>
  <si>
    <t>3P%</t>
  </si>
  <si>
    <t>Frequency</t>
  </si>
  <si>
    <t>Efficiency</t>
  </si>
  <si>
    <t>% Ast'd</t>
  </si>
  <si>
    <t>Corner</t>
  </si>
  <si>
    <t>Moyenne</t>
  </si>
  <si>
    <t>Phoenix Mercury</t>
  </si>
  <si>
    <t>San Antonio Silver Stars</t>
  </si>
  <si>
    <t>Charlotte Sting</t>
  </si>
  <si>
    <t>Minnesota Lynx</t>
  </si>
  <si>
    <t>New York Liberty</t>
  </si>
  <si>
    <t>Chicago Sky</t>
  </si>
  <si>
    <t>Connecticut Sun</t>
  </si>
  <si>
    <t>Detroit Shock</t>
  </si>
  <si>
    <t>Sacramento Monarchs</t>
  </si>
  <si>
    <t>Indiana Fever</t>
  </si>
  <si>
    <t>Los Angeles Sparks</t>
  </si>
  <si>
    <t>Washington Mystics</t>
  </si>
  <si>
    <t>Seattle Storm</t>
  </si>
  <si>
    <t>Houston Comets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</si>
</sst>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center" vertical="center" wrapText="1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139"/>
  <sheetViews>
    <sheetView tabSelected="1" workbookViewId="0">
      <pane xSplit="1" topLeftCell="B1" activePane="topRight" state="frozen"/>
      <selection pane="topRight" sqref="A1:Z1"/>
    </sheetView>
  </sheetViews>
  <sheetFormatPr baseColWidth="10" defaultColWidth="12.5703125" defaultRowHeight="15" customHeight="1" x14ac:dyDescent="0.25"/>
  <cols>
    <col min="1" max="1" width="25.7109375" customWidth="1"/>
    <col min="2" max="53" width="7.7109375" customWidth="1"/>
  </cols>
  <sheetData>
    <row r="1" spans="1:53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C1" s="18" t="s">
        <v>24</v>
      </c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26.25" x14ac:dyDescent="0.4">
      <c r="A2" s="11"/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1"/>
      <c r="R2" s="17" t="s">
        <v>22</v>
      </c>
      <c r="S2" s="17"/>
      <c r="T2" s="17"/>
      <c r="U2" s="17"/>
      <c r="V2" s="11"/>
      <c r="W2" s="17" t="s">
        <v>23</v>
      </c>
      <c r="X2" s="17"/>
      <c r="Y2" s="17"/>
      <c r="Z2" s="17"/>
      <c r="AC2" s="17" t="s">
        <v>0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2"/>
      <c r="AS2" s="17" t="s">
        <v>22</v>
      </c>
      <c r="AT2" s="17"/>
      <c r="AU2" s="17"/>
      <c r="AV2" s="17"/>
      <c r="AW2" s="12"/>
      <c r="AX2" s="17" t="s">
        <v>23</v>
      </c>
      <c r="AY2" s="17"/>
      <c r="AZ2" s="17"/>
      <c r="BA2" s="17"/>
    </row>
    <row r="3" spans="1:53" x14ac:dyDescent="0.25">
      <c r="A3" s="13" t="s">
        <v>1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8</v>
      </c>
      <c r="K3" s="13" t="s">
        <v>9</v>
      </c>
      <c r="L3" s="13" t="s">
        <v>10</v>
      </c>
      <c r="M3" s="13" t="s">
        <v>19</v>
      </c>
      <c r="N3" s="13" t="s">
        <v>5</v>
      </c>
      <c r="O3" s="13" t="s">
        <v>4</v>
      </c>
      <c r="P3" s="13" t="s">
        <v>2</v>
      </c>
      <c r="Q3" s="13"/>
      <c r="R3" s="13" t="s">
        <v>3</v>
      </c>
      <c r="S3" s="13" t="s">
        <v>7</v>
      </c>
      <c r="T3" s="13" t="s">
        <v>6</v>
      </c>
      <c r="U3" s="13" t="s">
        <v>20</v>
      </c>
      <c r="V3" s="13"/>
      <c r="W3" s="13" t="s">
        <v>3</v>
      </c>
      <c r="X3" s="13" t="s">
        <v>7</v>
      </c>
      <c r="Y3" s="13" t="s">
        <v>21</v>
      </c>
      <c r="Z3" s="13" t="s">
        <v>20</v>
      </c>
      <c r="AC3" s="13" t="s">
        <v>11</v>
      </c>
      <c r="AD3" s="13" t="s">
        <v>12</v>
      </c>
      <c r="AE3" s="13" t="s">
        <v>13</v>
      </c>
      <c r="AF3" s="13" t="s">
        <v>14</v>
      </c>
      <c r="AG3" s="13" t="s">
        <v>15</v>
      </c>
      <c r="AH3" s="13" t="s">
        <v>16</v>
      </c>
      <c r="AI3" s="13" t="s">
        <v>17</v>
      </c>
      <c r="AJ3" s="13" t="s">
        <v>18</v>
      </c>
      <c r="AK3" s="13" t="s">
        <v>8</v>
      </c>
      <c r="AL3" s="13" t="s">
        <v>9</v>
      </c>
      <c r="AM3" s="13" t="s">
        <v>10</v>
      </c>
      <c r="AN3" s="13" t="s">
        <v>19</v>
      </c>
      <c r="AO3" s="13" t="s">
        <v>5</v>
      </c>
      <c r="AP3" s="13" t="s">
        <v>4</v>
      </c>
      <c r="AQ3" s="13" t="s">
        <v>2</v>
      </c>
      <c r="AR3" s="13"/>
      <c r="AS3" s="13" t="s">
        <v>3</v>
      </c>
      <c r="AT3" s="13" t="s">
        <v>7</v>
      </c>
      <c r="AU3" s="13" t="s">
        <v>6</v>
      </c>
      <c r="AV3" s="13" t="s">
        <v>20</v>
      </c>
      <c r="AW3" s="13"/>
      <c r="AX3" s="13" t="s">
        <v>3</v>
      </c>
      <c r="AY3" s="13" t="s">
        <v>7</v>
      </c>
      <c r="AZ3" s="13" t="s">
        <v>21</v>
      </c>
      <c r="BA3" s="13" t="s">
        <v>20</v>
      </c>
    </row>
    <row r="4" spans="1:53" x14ac:dyDescent="0.25">
      <c r="A4" s="6" t="s">
        <v>48</v>
      </c>
      <c r="B4" s="8">
        <v>27.2</v>
      </c>
      <c r="C4" s="1">
        <v>26</v>
      </c>
      <c r="D4" s="1">
        <v>8</v>
      </c>
      <c r="E4" s="1">
        <v>28</v>
      </c>
      <c r="F4" s="1">
        <v>6</v>
      </c>
      <c r="G4" s="9">
        <v>7.82</v>
      </c>
      <c r="H4" s="9">
        <v>-1.07</v>
      </c>
      <c r="I4" s="9">
        <v>6.76</v>
      </c>
      <c r="J4" s="9">
        <v>102.9</v>
      </c>
      <c r="K4" s="9">
        <v>92.7</v>
      </c>
      <c r="L4" s="9">
        <v>10.199999999999999</v>
      </c>
      <c r="M4" s="9">
        <v>76.400000000000006</v>
      </c>
      <c r="N4" s="9">
        <v>0.30499999999999999</v>
      </c>
      <c r="O4" s="9">
        <v>0.23</v>
      </c>
      <c r="P4" s="9">
        <v>0.53400000000000003</v>
      </c>
      <c r="Q4" s="1"/>
      <c r="R4" s="9">
        <v>0.48199999999999998</v>
      </c>
      <c r="S4" s="9">
        <v>17</v>
      </c>
      <c r="T4" s="9">
        <v>30.4</v>
      </c>
      <c r="U4" s="9">
        <v>0.246</v>
      </c>
      <c r="V4" s="1"/>
      <c r="W4" s="9">
        <v>0.437</v>
      </c>
      <c r="X4" s="9">
        <v>15.9</v>
      </c>
      <c r="Y4" s="9">
        <v>71.599999999999994</v>
      </c>
      <c r="Z4" s="9">
        <v>0.152</v>
      </c>
      <c r="AA4" s="5"/>
      <c r="AB4" s="5"/>
      <c r="AC4" s="5">
        <f t="shared" ref="AC4:AQ18" si="0">RANK(B4,B$4:B$18,0)</f>
        <v>4</v>
      </c>
      <c r="AD4" s="5">
        <f t="shared" si="0"/>
        <v>1</v>
      </c>
      <c r="AE4" s="5">
        <f>RANK(D4,D$4:D$18,1)</f>
        <v>1</v>
      </c>
      <c r="AF4" s="5">
        <f t="shared" si="0"/>
        <v>1</v>
      </c>
      <c r="AG4" s="5">
        <f>RANK(F4,F$4:F$18,1)</f>
        <v>1</v>
      </c>
      <c r="AH4" s="5">
        <f t="shared" si="0"/>
        <v>1</v>
      </c>
      <c r="AI4" s="5">
        <f t="shared" si="0"/>
        <v>14</v>
      </c>
      <c r="AJ4" s="5">
        <f t="shared" si="0"/>
        <v>1</v>
      </c>
      <c r="AK4" s="5">
        <f t="shared" si="0"/>
        <v>3</v>
      </c>
      <c r="AL4" s="5">
        <f>RANK(K4,K$4:K$18,1)</f>
        <v>2</v>
      </c>
      <c r="AM4" s="5">
        <f t="shared" si="0"/>
        <v>1</v>
      </c>
      <c r="AN4" s="5">
        <f t="shared" si="0"/>
        <v>5</v>
      </c>
      <c r="AO4" s="5">
        <f t="shared" si="0"/>
        <v>11</v>
      </c>
      <c r="AP4" s="5">
        <f t="shared" si="0"/>
        <v>8</v>
      </c>
      <c r="AQ4" s="5">
        <f t="shared" si="0"/>
        <v>4</v>
      </c>
      <c r="AR4" s="5"/>
      <c r="AS4" s="5">
        <f>RANK(R4,R$4:R$18,0)</f>
        <v>5</v>
      </c>
      <c r="AT4" s="5">
        <f>RANK(S4,S$4:S$18,1)</f>
        <v>3</v>
      </c>
      <c r="AU4" s="5">
        <f>RANK(T4,T$4:T$18,0)</f>
        <v>7</v>
      </c>
      <c r="AV4" s="5">
        <f>RANK(U4,U$4:U$18,0)</f>
        <v>6</v>
      </c>
      <c r="AW4" s="5"/>
      <c r="AX4" s="5">
        <f>RANK(W4,W$4:W$18,1)</f>
        <v>2</v>
      </c>
      <c r="AY4" s="5">
        <f>RANK(X4,X$4:X$18,0)</f>
        <v>12</v>
      </c>
      <c r="AZ4" s="5">
        <f>RANK(Y4,Y$4:Y$18,0)</f>
        <v>5</v>
      </c>
      <c r="BA4" s="5">
        <f>RANK(Z4,Z$4:Z$18,1)</f>
        <v>1</v>
      </c>
    </row>
    <row r="5" spans="1:53" x14ac:dyDescent="0.25">
      <c r="A5" s="6" t="s">
        <v>49</v>
      </c>
      <c r="B5" s="8">
        <v>26.7</v>
      </c>
      <c r="C5" s="1">
        <v>23</v>
      </c>
      <c r="D5" s="1">
        <v>11</v>
      </c>
      <c r="E5" s="1">
        <v>24</v>
      </c>
      <c r="F5" s="1">
        <v>10</v>
      </c>
      <c r="G5" s="9">
        <v>4.21</v>
      </c>
      <c r="H5" s="9">
        <v>-0.67</v>
      </c>
      <c r="I5" s="9">
        <v>3.54</v>
      </c>
      <c r="J5" s="9">
        <v>98.3</v>
      </c>
      <c r="K5" s="9">
        <v>92.7</v>
      </c>
      <c r="L5" s="9">
        <v>5.6</v>
      </c>
      <c r="M5" s="9">
        <v>75.3</v>
      </c>
      <c r="N5" s="9">
        <v>0.33600000000000002</v>
      </c>
      <c r="O5" s="9">
        <v>0.186</v>
      </c>
      <c r="P5" s="9">
        <v>0.496</v>
      </c>
      <c r="Q5" s="1"/>
      <c r="R5" s="9">
        <v>0.44500000000000001</v>
      </c>
      <c r="S5" s="9">
        <v>17.399999999999999</v>
      </c>
      <c r="T5" s="9">
        <v>34.799999999999997</v>
      </c>
      <c r="U5" s="9">
        <v>0.249</v>
      </c>
      <c r="V5" s="1"/>
      <c r="W5" s="9">
        <v>0.42899999999999999</v>
      </c>
      <c r="X5" s="9">
        <v>17</v>
      </c>
      <c r="Y5" s="9">
        <v>73.099999999999994</v>
      </c>
      <c r="Z5" s="9">
        <v>0.24399999999999999</v>
      </c>
      <c r="AA5" s="5"/>
      <c r="AB5" s="5"/>
      <c r="AC5" s="5">
        <f t="shared" ref="AC5:AC18" si="1">RANK(B5,B$4:B$18,0)</f>
        <v>6</v>
      </c>
      <c r="AD5" s="5">
        <f t="shared" ref="AD5:AD18" si="2">RANK(C5,C$4:C$18,0)</f>
        <v>3</v>
      </c>
      <c r="AE5" s="5">
        <f t="shared" ref="AE5:AE18" si="3">RANK(D5,D$4:D$18,1)</f>
        <v>3</v>
      </c>
      <c r="AF5" s="5">
        <f t="shared" si="0"/>
        <v>2</v>
      </c>
      <c r="AG5" s="5">
        <f t="shared" ref="AG5:AG18" si="4">RANK(F5,F$4:F$18,1)</f>
        <v>2</v>
      </c>
      <c r="AH5" s="5">
        <f t="shared" ref="AH5:AH18" si="5">RANK(G5,G$4:G$18,0)</f>
        <v>2</v>
      </c>
      <c r="AI5" s="5">
        <f t="shared" ref="AI5:AI18" si="6">RANK(H5,H$4:H$18,0)</f>
        <v>13</v>
      </c>
      <c r="AJ5" s="5">
        <f t="shared" ref="AJ5:AJ18" si="7">RANK(I5,I$4:I$18,0)</f>
        <v>3</v>
      </c>
      <c r="AK5" s="5">
        <f t="shared" ref="AK5:AK18" si="8">RANK(J5,J$4:J$18,0)</f>
        <v>7</v>
      </c>
      <c r="AL5" s="5">
        <f t="shared" ref="AL5:AL18" si="9">RANK(K5,K$4:K$18,1)</f>
        <v>2</v>
      </c>
      <c r="AM5" s="5">
        <f t="shared" ref="AM5:AM18" si="10">RANK(L5,L$4:L$18,0)</f>
        <v>2</v>
      </c>
      <c r="AN5" s="5">
        <f t="shared" ref="AN5:AN18" si="11">RANK(M5,M$4:M$18,0)</f>
        <v>9</v>
      </c>
      <c r="AO5" s="5">
        <f t="shared" ref="AO5:AO18" si="12">RANK(N5,N$4:N$18,0)</f>
        <v>3</v>
      </c>
      <c r="AP5" s="5">
        <f t="shared" ref="AP5:AP18" si="13">RANK(O5,O$4:O$18,0)</f>
        <v>13</v>
      </c>
      <c r="AQ5" s="5">
        <f t="shared" ref="AQ5:AQ18" si="14">RANK(P5,P$4:P$18,0)</f>
        <v>11</v>
      </c>
      <c r="AR5" s="5"/>
      <c r="AS5" s="5">
        <f t="shared" ref="AS5:AU11" si="15">RANK(R5,R$4:R$18,0)</f>
        <v>12</v>
      </c>
      <c r="AT5" s="5">
        <f t="shared" ref="AT5:AT18" si="16">RANK(S5,S$4:S$18,1)</f>
        <v>4</v>
      </c>
      <c r="AU5" s="5">
        <f t="shared" si="15"/>
        <v>2</v>
      </c>
      <c r="AV5" s="5">
        <f t="shared" ref="AV5:AV18" si="17">RANK(U5,U$4:U$18,0)</f>
        <v>3</v>
      </c>
      <c r="AW5" s="5"/>
      <c r="AX5" s="5">
        <f t="shared" ref="AX5:AX18" si="18">RANK(W5,W$4:W$18,1)</f>
        <v>1</v>
      </c>
      <c r="AY5" s="5">
        <f t="shared" ref="AY5:AZ18" si="19">RANK(X5,X$4:X$18,0)</f>
        <v>8</v>
      </c>
      <c r="AZ5" s="5">
        <f t="shared" si="19"/>
        <v>1</v>
      </c>
      <c r="BA5" s="5">
        <f t="shared" ref="BA5:BA18" si="20">RANK(Z5,Z$4:Z$18,1)</f>
        <v>7</v>
      </c>
    </row>
    <row r="6" spans="1:53" x14ac:dyDescent="0.25">
      <c r="A6" s="6" t="s">
        <v>50</v>
      </c>
      <c r="B6" s="8">
        <v>27.1</v>
      </c>
      <c r="C6" s="1">
        <v>21</v>
      </c>
      <c r="D6" s="1">
        <v>13</v>
      </c>
      <c r="E6" s="1">
        <v>23</v>
      </c>
      <c r="F6" s="1">
        <v>11</v>
      </c>
      <c r="G6" s="9">
        <v>3.91</v>
      </c>
      <c r="H6" s="9">
        <v>-7.0000000000000007E-2</v>
      </c>
      <c r="I6" s="9">
        <v>3.84</v>
      </c>
      <c r="J6" s="9">
        <v>99.6</v>
      </c>
      <c r="K6" s="9">
        <v>94.4</v>
      </c>
      <c r="L6" s="9">
        <v>5.2</v>
      </c>
      <c r="M6" s="9">
        <v>74.099999999999994</v>
      </c>
      <c r="N6" s="9">
        <v>0.33800000000000002</v>
      </c>
      <c r="O6" s="9">
        <v>0.21099999999999999</v>
      </c>
      <c r="P6" s="9">
        <v>0.504</v>
      </c>
      <c r="Q6" s="1"/>
      <c r="R6" s="9">
        <v>0.45500000000000002</v>
      </c>
      <c r="S6" s="9">
        <v>17.7</v>
      </c>
      <c r="T6" s="9">
        <v>36.6</v>
      </c>
      <c r="U6" s="9">
        <v>0.247</v>
      </c>
      <c r="V6" s="1"/>
      <c r="W6" s="9">
        <v>0.47</v>
      </c>
      <c r="X6" s="9">
        <v>21.5</v>
      </c>
      <c r="Y6" s="9">
        <v>71</v>
      </c>
      <c r="Z6" s="9">
        <v>0.249</v>
      </c>
      <c r="AA6" s="5"/>
      <c r="AB6" s="5"/>
      <c r="AC6" s="5">
        <f t="shared" si="1"/>
        <v>5</v>
      </c>
      <c r="AD6" s="5">
        <f t="shared" si="2"/>
        <v>4</v>
      </c>
      <c r="AE6" s="5">
        <f t="shared" si="3"/>
        <v>4</v>
      </c>
      <c r="AF6" s="5">
        <f t="shared" si="0"/>
        <v>3</v>
      </c>
      <c r="AG6" s="5">
        <f t="shared" si="4"/>
        <v>3</v>
      </c>
      <c r="AH6" s="5">
        <f t="shared" si="5"/>
        <v>3</v>
      </c>
      <c r="AI6" s="5">
        <f t="shared" si="6"/>
        <v>9</v>
      </c>
      <c r="AJ6" s="5">
        <f t="shared" si="7"/>
        <v>2</v>
      </c>
      <c r="AK6" s="5">
        <f t="shared" si="8"/>
        <v>5</v>
      </c>
      <c r="AL6" s="5">
        <f t="shared" si="9"/>
        <v>4</v>
      </c>
      <c r="AM6" s="5">
        <f t="shared" si="10"/>
        <v>3</v>
      </c>
      <c r="AN6" s="5">
        <f t="shared" si="11"/>
        <v>12</v>
      </c>
      <c r="AO6" s="5">
        <f t="shared" si="12"/>
        <v>2</v>
      </c>
      <c r="AP6" s="5">
        <f t="shared" si="13"/>
        <v>11</v>
      </c>
      <c r="AQ6" s="5">
        <f t="shared" si="14"/>
        <v>7</v>
      </c>
      <c r="AR6" s="5"/>
      <c r="AS6" s="5">
        <f t="shared" si="15"/>
        <v>8</v>
      </c>
      <c r="AT6" s="5">
        <f t="shared" si="16"/>
        <v>7</v>
      </c>
      <c r="AU6" s="5">
        <f t="shared" si="15"/>
        <v>1</v>
      </c>
      <c r="AV6" s="5">
        <f t="shared" si="17"/>
        <v>4</v>
      </c>
      <c r="AW6" s="5"/>
      <c r="AX6" s="5">
        <f t="shared" si="18"/>
        <v>9</v>
      </c>
      <c r="AY6" s="5">
        <f t="shared" si="19"/>
        <v>1</v>
      </c>
      <c r="AZ6" s="5">
        <f t="shared" si="19"/>
        <v>6</v>
      </c>
      <c r="BA6" s="5">
        <f t="shared" si="20"/>
        <v>9</v>
      </c>
    </row>
    <row r="7" spans="1:53" x14ac:dyDescent="0.25">
      <c r="A7" s="6" t="s">
        <v>51</v>
      </c>
      <c r="B7" s="8">
        <v>27.4</v>
      </c>
      <c r="C7" s="1">
        <v>21</v>
      </c>
      <c r="D7" s="1">
        <v>13</v>
      </c>
      <c r="E7" s="1">
        <v>23</v>
      </c>
      <c r="F7" s="1">
        <v>11</v>
      </c>
      <c r="G7" s="9">
        <v>3.5</v>
      </c>
      <c r="H7" s="9">
        <v>-0.6</v>
      </c>
      <c r="I7" s="9">
        <v>2.9</v>
      </c>
      <c r="J7" s="9">
        <v>96.1</v>
      </c>
      <c r="K7" s="9">
        <v>91.4</v>
      </c>
      <c r="L7" s="9">
        <v>4.7</v>
      </c>
      <c r="M7" s="9">
        <v>74</v>
      </c>
      <c r="N7" s="9">
        <v>0.315</v>
      </c>
      <c r="O7" s="9">
        <v>0.25700000000000001</v>
      </c>
      <c r="P7" s="9">
        <v>0.499</v>
      </c>
      <c r="Q7" s="1"/>
      <c r="R7" s="9">
        <v>0.44700000000000001</v>
      </c>
      <c r="S7" s="9">
        <v>17.8</v>
      </c>
      <c r="T7" s="9">
        <v>30.5</v>
      </c>
      <c r="U7" s="9">
        <v>0.24199999999999999</v>
      </c>
      <c r="V7" s="1"/>
      <c r="W7" s="9">
        <v>0.46600000000000003</v>
      </c>
      <c r="X7" s="9">
        <v>21.2</v>
      </c>
      <c r="Y7" s="9">
        <v>72.400000000000006</v>
      </c>
      <c r="Z7" s="9">
        <v>0.20200000000000001</v>
      </c>
      <c r="AA7" s="5"/>
      <c r="AB7" s="5"/>
      <c r="AC7" s="5">
        <f t="shared" si="1"/>
        <v>3</v>
      </c>
      <c r="AD7" s="5">
        <f t="shared" si="2"/>
        <v>4</v>
      </c>
      <c r="AE7" s="5">
        <f t="shared" si="3"/>
        <v>4</v>
      </c>
      <c r="AF7" s="5">
        <f t="shared" si="0"/>
        <v>3</v>
      </c>
      <c r="AG7" s="5">
        <f t="shared" si="4"/>
        <v>3</v>
      </c>
      <c r="AH7" s="5">
        <f t="shared" si="5"/>
        <v>4</v>
      </c>
      <c r="AI7" s="5">
        <f t="shared" si="6"/>
        <v>11</v>
      </c>
      <c r="AJ7" s="5">
        <f t="shared" si="7"/>
        <v>4</v>
      </c>
      <c r="AK7" s="5">
        <f t="shared" si="8"/>
        <v>11</v>
      </c>
      <c r="AL7" s="5">
        <f t="shared" si="9"/>
        <v>1</v>
      </c>
      <c r="AM7" s="5">
        <f t="shared" si="10"/>
        <v>4</v>
      </c>
      <c r="AN7" s="5">
        <f t="shared" si="11"/>
        <v>13</v>
      </c>
      <c r="AO7" s="5">
        <f t="shared" si="12"/>
        <v>8</v>
      </c>
      <c r="AP7" s="5">
        <f t="shared" si="13"/>
        <v>3</v>
      </c>
      <c r="AQ7" s="5">
        <f t="shared" si="14"/>
        <v>10</v>
      </c>
      <c r="AR7" s="5"/>
      <c r="AS7" s="5">
        <f t="shared" si="15"/>
        <v>11</v>
      </c>
      <c r="AT7" s="5">
        <f t="shared" si="16"/>
        <v>10</v>
      </c>
      <c r="AU7" s="5">
        <f t="shared" si="15"/>
        <v>6</v>
      </c>
      <c r="AV7" s="5">
        <f t="shared" si="17"/>
        <v>8</v>
      </c>
      <c r="AW7" s="5"/>
      <c r="AX7" s="5">
        <f t="shared" si="18"/>
        <v>7</v>
      </c>
      <c r="AY7" s="5">
        <f t="shared" si="19"/>
        <v>2</v>
      </c>
      <c r="AZ7" s="5">
        <f t="shared" si="19"/>
        <v>2</v>
      </c>
      <c r="BA7" s="5">
        <f t="shared" si="20"/>
        <v>3</v>
      </c>
    </row>
    <row r="8" spans="1:53" x14ac:dyDescent="0.25">
      <c r="A8" s="6" t="s">
        <v>52</v>
      </c>
      <c r="B8" s="8">
        <v>26.6</v>
      </c>
      <c r="C8" s="1">
        <v>25</v>
      </c>
      <c r="D8" s="1">
        <v>9</v>
      </c>
      <c r="E8" s="1">
        <v>22</v>
      </c>
      <c r="F8" s="1">
        <v>12</v>
      </c>
      <c r="G8" s="9">
        <v>2.91</v>
      </c>
      <c r="H8" s="9">
        <v>-0.08</v>
      </c>
      <c r="I8" s="9">
        <v>2.83</v>
      </c>
      <c r="J8" s="9">
        <v>98.5</v>
      </c>
      <c r="K8" s="9">
        <v>94.7</v>
      </c>
      <c r="L8" s="9">
        <v>3.8</v>
      </c>
      <c r="M8" s="9">
        <v>76.7</v>
      </c>
      <c r="N8" s="9">
        <v>0.33100000000000002</v>
      </c>
      <c r="O8" s="9">
        <v>0.17199999999999999</v>
      </c>
      <c r="P8" s="9">
        <v>0.51200000000000001</v>
      </c>
      <c r="Q8" s="1"/>
      <c r="R8" s="9">
        <v>0.46400000000000002</v>
      </c>
      <c r="S8" s="9">
        <v>17.5</v>
      </c>
      <c r="T8" s="9">
        <v>31.9</v>
      </c>
      <c r="U8" s="9">
        <v>0.246</v>
      </c>
      <c r="V8" s="1"/>
      <c r="W8" s="9">
        <v>0.44500000000000001</v>
      </c>
      <c r="X8" s="9">
        <v>18.2</v>
      </c>
      <c r="Y8" s="9">
        <v>71.7</v>
      </c>
      <c r="Z8" s="9">
        <v>0.245</v>
      </c>
      <c r="AA8" s="5"/>
      <c r="AB8" s="5"/>
      <c r="AC8" s="5">
        <f t="shared" si="1"/>
        <v>7</v>
      </c>
      <c r="AD8" s="5">
        <f t="shared" si="2"/>
        <v>2</v>
      </c>
      <c r="AE8" s="5">
        <f t="shared" si="3"/>
        <v>2</v>
      </c>
      <c r="AF8" s="5">
        <f t="shared" si="0"/>
        <v>5</v>
      </c>
      <c r="AG8" s="5">
        <f t="shared" si="4"/>
        <v>5</v>
      </c>
      <c r="AH8" s="5">
        <f t="shared" si="5"/>
        <v>5</v>
      </c>
      <c r="AI8" s="5">
        <f t="shared" si="6"/>
        <v>10</v>
      </c>
      <c r="AJ8" s="5">
        <f t="shared" si="7"/>
        <v>5</v>
      </c>
      <c r="AK8" s="5">
        <f t="shared" si="8"/>
        <v>6</v>
      </c>
      <c r="AL8" s="5">
        <f t="shared" si="9"/>
        <v>6</v>
      </c>
      <c r="AM8" s="5">
        <f t="shared" si="10"/>
        <v>5</v>
      </c>
      <c r="AN8" s="5">
        <f t="shared" si="11"/>
        <v>4</v>
      </c>
      <c r="AO8" s="5">
        <f t="shared" si="12"/>
        <v>5</v>
      </c>
      <c r="AP8" s="5">
        <f t="shared" si="13"/>
        <v>14</v>
      </c>
      <c r="AQ8" s="5">
        <f t="shared" si="14"/>
        <v>6</v>
      </c>
      <c r="AR8" s="5"/>
      <c r="AS8" s="5">
        <f t="shared" si="15"/>
        <v>6</v>
      </c>
      <c r="AT8" s="5">
        <f t="shared" si="16"/>
        <v>6</v>
      </c>
      <c r="AU8" s="5">
        <f t="shared" si="15"/>
        <v>3</v>
      </c>
      <c r="AV8" s="5">
        <f t="shared" si="17"/>
        <v>6</v>
      </c>
      <c r="AW8" s="5"/>
      <c r="AX8" s="5">
        <f t="shared" si="18"/>
        <v>3</v>
      </c>
      <c r="AY8" s="5">
        <f t="shared" si="19"/>
        <v>5</v>
      </c>
      <c r="AZ8" s="5">
        <f t="shared" si="19"/>
        <v>4</v>
      </c>
      <c r="BA8" s="5">
        <f t="shared" si="20"/>
        <v>8</v>
      </c>
    </row>
    <row r="9" spans="1:53" x14ac:dyDescent="0.25">
      <c r="A9" s="6" t="s">
        <v>53</v>
      </c>
      <c r="B9" s="8">
        <v>28.2</v>
      </c>
      <c r="C9" s="1">
        <v>18</v>
      </c>
      <c r="D9" s="1">
        <v>16</v>
      </c>
      <c r="E9" s="1">
        <v>21</v>
      </c>
      <c r="F9" s="1">
        <v>13</v>
      </c>
      <c r="G9" s="9">
        <v>2.65</v>
      </c>
      <c r="H9" s="9">
        <v>-0.65</v>
      </c>
      <c r="I9" s="9">
        <v>2</v>
      </c>
      <c r="J9" s="9">
        <v>104.3</v>
      </c>
      <c r="K9" s="9">
        <v>100.9</v>
      </c>
      <c r="L9" s="9">
        <v>3.4</v>
      </c>
      <c r="M9" s="9">
        <v>76.900000000000006</v>
      </c>
      <c r="N9" s="9">
        <v>0.32500000000000001</v>
      </c>
      <c r="O9" s="9">
        <v>0.23699999999999999</v>
      </c>
      <c r="P9" s="9">
        <v>0.54600000000000004</v>
      </c>
      <c r="Q9" s="1"/>
      <c r="R9" s="9">
        <v>0.505</v>
      </c>
      <c r="S9" s="9">
        <v>17.7</v>
      </c>
      <c r="T9" s="9">
        <v>31.4</v>
      </c>
      <c r="U9" s="9">
        <v>0.24</v>
      </c>
      <c r="V9" s="1"/>
      <c r="W9" s="9">
        <v>0.48099999999999998</v>
      </c>
      <c r="X9" s="9">
        <v>18.8</v>
      </c>
      <c r="Y9" s="9">
        <v>70.599999999999994</v>
      </c>
      <c r="Z9" s="9">
        <v>0.30199999999999999</v>
      </c>
      <c r="AA9" s="5"/>
      <c r="AB9" s="5"/>
      <c r="AC9" s="5">
        <f t="shared" si="1"/>
        <v>2</v>
      </c>
      <c r="AD9" s="5">
        <f t="shared" si="2"/>
        <v>6</v>
      </c>
      <c r="AE9" s="5">
        <f t="shared" si="3"/>
        <v>6</v>
      </c>
      <c r="AF9" s="5">
        <f t="shared" si="0"/>
        <v>6</v>
      </c>
      <c r="AG9" s="5">
        <f t="shared" si="4"/>
        <v>6</v>
      </c>
      <c r="AH9" s="5">
        <f t="shared" si="5"/>
        <v>6</v>
      </c>
      <c r="AI9" s="5">
        <f t="shared" si="6"/>
        <v>12</v>
      </c>
      <c r="AJ9" s="5">
        <f t="shared" si="7"/>
        <v>8</v>
      </c>
      <c r="AK9" s="5">
        <f t="shared" si="8"/>
        <v>2</v>
      </c>
      <c r="AL9" s="5">
        <f t="shared" si="9"/>
        <v>9</v>
      </c>
      <c r="AM9" s="5">
        <f t="shared" si="10"/>
        <v>6</v>
      </c>
      <c r="AN9" s="5">
        <f t="shared" si="11"/>
        <v>3</v>
      </c>
      <c r="AO9" s="5">
        <f t="shared" si="12"/>
        <v>6</v>
      </c>
      <c r="AP9" s="5">
        <f t="shared" si="13"/>
        <v>7</v>
      </c>
      <c r="AQ9" s="5">
        <f t="shared" si="14"/>
        <v>1</v>
      </c>
      <c r="AR9" s="5"/>
      <c r="AS9" s="5">
        <f t="shared" si="15"/>
        <v>1</v>
      </c>
      <c r="AT9" s="5">
        <f t="shared" si="16"/>
        <v>7</v>
      </c>
      <c r="AU9" s="5">
        <f t="shared" si="15"/>
        <v>5</v>
      </c>
      <c r="AV9" s="5">
        <f t="shared" si="17"/>
        <v>9</v>
      </c>
      <c r="AW9" s="5"/>
      <c r="AX9" s="5">
        <f t="shared" si="18"/>
        <v>12</v>
      </c>
      <c r="AY9" s="5">
        <f t="shared" si="19"/>
        <v>4</v>
      </c>
      <c r="AZ9" s="5">
        <f t="shared" si="19"/>
        <v>8</v>
      </c>
      <c r="BA9" s="5">
        <f t="shared" si="20"/>
        <v>14</v>
      </c>
    </row>
    <row r="10" spans="1:53" x14ac:dyDescent="0.25">
      <c r="A10" s="6" t="s">
        <v>42</v>
      </c>
      <c r="B10" s="8">
        <v>25.7</v>
      </c>
      <c r="C10" s="1">
        <v>18</v>
      </c>
      <c r="D10" s="1">
        <v>16</v>
      </c>
      <c r="E10" s="1">
        <v>20</v>
      </c>
      <c r="F10" s="1">
        <v>14</v>
      </c>
      <c r="G10" s="9">
        <v>2.21</v>
      </c>
      <c r="H10" s="9">
        <v>0.09</v>
      </c>
      <c r="I10" s="9">
        <v>2.4700000000000002</v>
      </c>
      <c r="J10" s="9">
        <v>107.5</v>
      </c>
      <c r="K10" s="9">
        <v>104.7</v>
      </c>
      <c r="L10" s="9">
        <v>2.8</v>
      </c>
      <c r="M10" s="9">
        <v>79.8</v>
      </c>
      <c r="N10" s="9">
        <v>0.28399999999999997</v>
      </c>
      <c r="O10" s="9">
        <v>0.29599999999999999</v>
      </c>
      <c r="P10" s="9">
        <v>0.54200000000000004</v>
      </c>
      <c r="Q10" s="1"/>
      <c r="R10" s="9">
        <v>0.499</v>
      </c>
      <c r="S10" s="9">
        <v>14</v>
      </c>
      <c r="T10" s="9">
        <v>27.6</v>
      </c>
      <c r="U10" s="9">
        <v>0.222</v>
      </c>
      <c r="V10" s="1"/>
      <c r="W10" s="9">
        <v>0.47799999999999998</v>
      </c>
      <c r="X10" s="9">
        <v>16.399999999999999</v>
      </c>
      <c r="Y10" s="9">
        <v>66.400000000000006</v>
      </c>
      <c r="Z10" s="9">
        <v>0.26700000000000002</v>
      </c>
      <c r="AA10" s="5"/>
      <c r="AB10" s="5"/>
      <c r="AC10" s="5">
        <f t="shared" si="1"/>
        <v>11</v>
      </c>
      <c r="AD10" s="5">
        <f t="shared" si="2"/>
        <v>6</v>
      </c>
      <c r="AE10" s="5">
        <f t="shared" si="3"/>
        <v>6</v>
      </c>
      <c r="AF10" s="5">
        <f t="shared" si="0"/>
        <v>7</v>
      </c>
      <c r="AG10" s="5">
        <f t="shared" si="4"/>
        <v>7</v>
      </c>
      <c r="AH10" s="5">
        <f t="shared" si="5"/>
        <v>7</v>
      </c>
      <c r="AI10" s="5">
        <f t="shared" si="6"/>
        <v>7</v>
      </c>
      <c r="AJ10" s="5">
        <f t="shared" si="7"/>
        <v>6</v>
      </c>
      <c r="AK10" s="5">
        <f t="shared" si="8"/>
        <v>1</v>
      </c>
      <c r="AL10" s="5">
        <f t="shared" si="9"/>
        <v>12</v>
      </c>
      <c r="AM10" s="5">
        <f t="shared" si="10"/>
        <v>7</v>
      </c>
      <c r="AN10" s="5">
        <f t="shared" si="11"/>
        <v>1</v>
      </c>
      <c r="AO10" s="5">
        <f t="shared" si="12"/>
        <v>14</v>
      </c>
      <c r="AP10" s="5">
        <f t="shared" si="13"/>
        <v>2</v>
      </c>
      <c r="AQ10" s="5">
        <f t="shared" si="14"/>
        <v>2</v>
      </c>
      <c r="AR10" s="5"/>
      <c r="AS10" s="5">
        <f t="shared" si="15"/>
        <v>2</v>
      </c>
      <c r="AT10" s="5">
        <f t="shared" si="16"/>
        <v>1</v>
      </c>
      <c r="AU10" s="5">
        <f t="shared" si="15"/>
        <v>13</v>
      </c>
      <c r="AV10" s="5">
        <f t="shared" si="17"/>
        <v>12</v>
      </c>
      <c r="AW10" s="5"/>
      <c r="AX10" s="5">
        <f t="shared" si="18"/>
        <v>11</v>
      </c>
      <c r="AY10" s="5">
        <f t="shared" si="19"/>
        <v>10</v>
      </c>
      <c r="AZ10" s="5">
        <f t="shared" si="19"/>
        <v>13</v>
      </c>
      <c r="BA10" s="5">
        <f t="shared" si="20"/>
        <v>12</v>
      </c>
    </row>
    <row r="11" spans="1:53" x14ac:dyDescent="0.25">
      <c r="A11" s="6" t="s">
        <v>54</v>
      </c>
      <c r="B11" s="8">
        <v>25.8</v>
      </c>
      <c r="C11" s="1">
        <v>18</v>
      </c>
      <c r="D11" s="1">
        <v>16</v>
      </c>
      <c r="E11" s="1">
        <v>20</v>
      </c>
      <c r="F11" s="1">
        <v>14</v>
      </c>
      <c r="G11" s="9">
        <v>2.0299999999999998</v>
      </c>
      <c r="H11" s="9">
        <v>0.15</v>
      </c>
      <c r="I11" s="9">
        <v>2.1800000000000002</v>
      </c>
      <c r="J11" s="9">
        <v>102</v>
      </c>
      <c r="K11" s="9">
        <v>99.3</v>
      </c>
      <c r="L11" s="9">
        <v>2.7</v>
      </c>
      <c r="M11" s="9">
        <v>76.2</v>
      </c>
      <c r="N11" s="9">
        <v>0.33500000000000002</v>
      </c>
      <c r="O11" s="9">
        <v>0.224</v>
      </c>
      <c r="P11" s="9">
        <v>0.54200000000000004</v>
      </c>
      <c r="Q11" s="1"/>
      <c r="R11" s="9">
        <v>0.49</v>
      </c>
      <c r="S11" s="9">
        <v>19</v>
      </c>
      <c r="T11" s="9">
        <v>31.6</v>
      </c>
      <c r="U11" s="9">
        <v>0.26500000000000001</v>
      </c>
      <c r="V11" s="1"/>
      <c r="W11" s="9">
        <v>0.46100000000000002</v>
      </c>
      <c r="X11" s="9">
        <v>16.100000000000001</v>
      </c>
      <c r="Y11" s="9">
        <v>71.8</v>
      </c>
      <c r="Z11" s="9">
        <v>0.23899999999999999</v>
      </c>
      <c r="AA11" s="5"/>
      <c r="AB11" s="5"/>
      <c r="AC11" s="5">
        <f t="shared" si="1"/>
        <v>10</v>
      </c>
      <c r="AD11" s="5">
        <f t="shared" si="2"/>
        <v>6</v>
      </c>
      <c r="AE11" s="5">
        <f t="shared" si="3"/>
        <v>6</v>
      </c>
      <c r="AF11" s="5">
        <f t="shared" si="0"/>
        <v>7</v>
      </c>
      <c r="AG11" s="5">
        <f t="shared" si="4"/>
        <v>7</v>
      </c>
      <c r="AH11" s="5">
        <f t="shared" si="5"/>
        <v>8</v>
      </c>
      <c r="AI11" s="5">
        <f t="shared" si="6"/>
        <v>6</v>
      </c>
      <c r="AJ11" s="5">
        <f t="shared" si="7"/>
        <v>7</v>
      </c>
      <c r="AK11" s="5">
        <f t="shared" si="8"/>
        <v>4</v>
      </c>
      <c r="AL11" s="5">
        <f t="shared" si="9"/>
        <v>8</v>
      </c>
      <c r="AM11" s="5">
        <f t="shared" si="10"/>
        <v>8</v>
      </c>
      <c r="AN11" s="5">
        <f t="shared" si="11"/>
        <v>7</v>
      </c>
      <c r="AO11" s="5">
        <f t="shared" si="12"/>
        <v>4</v>
      </c>
      <c r="AP11" s="5">
        <f t="shared" si="13"/>
        <v>10</v>
      </c>
      <c r="AQ11" s="5">
        <f t="shared" si="14"/>
        <v>2</v>
      </c>
      <c r="AR11" s="5"/>
      <c r="AS11" s="5">
        <f t="shared" si="15"/>
        <v>3</v>
      </c>
      <c r="AT11" s="5">
        <f t="shared" si="16"/>
        <v>12</v>
      </c>
      <c r="AU11" s="5">
        <f t="shared" si="15"/>
        <v>4</v>
      </c>
      <c r="AV11" s="5">
        <f t="shared" si="17"/>
        <v>1</v>
      </c>
      <c r="AW11" s="5"/>
      <c r="AX11" s="5">
        <f t="shared" si="18"/>
        <v>6</v>
      </c>
      <c r="AY11" s="5">
        <f t="shared" si="19"/>
        <v>11</v>
      </c>
      <c r="AZ11" s="5">
        <f t="shared" si="19"/>
        <v>3</v>
      </c>
      <c r="BA11" s="5">
        <f t="shared" si="20"/>
        <v>6</v>
      </c>
    </row>
    <row r="12" spans="1:53" x14ac:dyDescent="0.25">
      <c r="A12" s="6" t="s">
        <v>55</v>
      </c>
      <c r="B12" s="8">
        <v>29.8</v>
      </c>
      <c r="C12" s="1">
        <v>18</v>
      </c>
      <c r="D12" s="1">
        <v>16</v>
      </c>
      <c r="E12" s="1">
        <v>20</v>
      </c>
      <c r="F12" s="1">
        <v>14</v>
      </c>
      <c r="G12" s="9">
        <v>1.71</v>
      </c>
      <c r="H12" s="9">
        <v>-0.04</v>
      </c>
      <c r="I12" s="9">
        <v>1.66</v>
      </c>
      <c r="J12" s="9">
        <v>96.8</v>
      </c>
      <c r="K12" s="9">
        <v>94.6</v>
      </c>
      <c r="L12" s="9">
        <v>2.2000000000000002</v>
      </c>
      <c r="M12" s="9">
        <v>74.7</v>
      </c>
      <c r="N12" s="9">
        <v>0.32300000000000001</v>
      </c>
      <c r="O12" s="9">
        <v>0.22500000000000001</v>
      </c>
      <c r="P12" s="9">
        <v>0.52300000000000002</v>
      </c>
      <c r="Q12" s="1"/>
      <c r="R12" s="9">
        <v>0.48299999999999998</v>
      </c>
      <c r="S12" s="9">
        <v>19.100000000000001</v>
      </c>
      <c r="T12" s="9">
        <v>27.8</v>
      </c>
      <c r="U12" s="9">
        <v>0.23</v>
      </c>
      <c r="V12" s="1"/>
      <c r="W12" s="9">
        <v>0.44900000000000001</v>
      </c>
      <c r="X12" s="9">
        <v>17.2</v>
      </c>
      <c r="Y12" s="9">
        <v>70.900000000000006</v>
      </c>
      <c r="Z12" s="9">
        <v>0.19900000000000001</v>
      </c>
      <c r="AA12" s="5"/>
      <c r="AB12" s="5"/>
      <c r="AC12" s="5">
        <f t="shared" si="1"/>
        <v>1</v>
      </c>
      <c r="AD12" s="5">
        <f t="shared" si="2"/>
        <v>6</v>
      </c>
      <c r="AE12" s="5">
        <f t="shared" si="3"/>
        <v>6</v>
      </c>
      <c r="AF12" s="5">
        <f t="shared" si="0"/>
        <v>7</v>
      </c>
      <c r="AG12" s="5">
        <f t="shared" si="4"/>
        <v>7</v>
      </c>
      <c r="AH12" s="5">
        <f t="shared" si="5"/>
        <v>9</v>
      </c>
      <c r="AI12" s="5">
        <f t="shared" si="6"/>
        <v>8</v>
      </c>
      <c r="AJ12" s="5">
        <f t="shared" si="7"/>
        <v>9</v>
      </c>
      <c r="AK12" s="5">
        <f t="shared" si="8"/>
        <v>9</v>
      </c>
      <c r="AL12" s="5">
        <f t="shared" si="9"/>
        <v>5</v>
      </c>
      <c r="AM12" s="5">
        <f t="shared" si="10"/>
        <v>9</v>
      </c>
      <c r="AN12" s="5">
        <f t="shared" si="11"/>
        <v>10</v>
      </c>
      <c r="AO12" s="5">
        <f t="shared" si="12"/>
        <v>7</v>
      </c>
      <c r="AP12" s="5">
        <f t="shared" si="13"/>
        <v>9</v>
      </c>
      <c r="AQ12" s="5">
        <f t="shared" si="14"/>
        <v>5</v>
      </c>
      <c r="AR12" s="5"/>
      <c r="AS12" s="5">
        <f t="shared" ref="AS12:AS18" si="21">RANK(R12,R$4:R$18,0)</f>
        <v>4</v>
      </c>
      <c r="AT12" s="5">
        <f t="shared" si="16"/>
        <v>13</v>
      </c>
      <c r="AU12" s="5">
        <f t="shared" ref="AU12:AU18" si="22">RANK(T12,T$4:T$18,0)</f>
        <v>12</v>
      </c>
      <c r="AV12" s="5">
        <f t="shared" si="17"/>
        <v>10</v>
      </c>
      <c r="AW12" s="5"/>
      <c r="AX12" s="5">
        <f t="shared" si="18"/>
        <v>4</v>
      </c>
      <c r="AY12" s="5">
        <f t="shared" si="19"/>
        <v>7</v>
      </c>
      <c r="AZ12" s="5">
        <f t="shared" si="19"/>
        <v>7</v>
      </c>
      <c r="BA12" s="5">
        <f t="shared" si="20"/>
        <v>2</v>
      </c>
    </row>
    <row r="13" spans="1:53" x14ac:dyDescent="0.25">
      <c r="A13" s="6" t="s">
        <v>43</v>
      </c>
      <c r="B13" s="8">
        <v>26</v>
      </c>
      <c r="C13" s="1">
        <v>13</v>
      </c>
      <c r="D13" s="1">
        <v>21</v>
      </c>
      <c r="E13" s="1">
        <v>13</v>
      </c>
      <c r="F13" s="1">
        <v>21</v>
      </c>
      <c r="G13" s="9">
        <v>-2.35</v>
      </c>
      <c r="H13" s="9">
        <v>0.26</v>
      </c>
      <c r="I13" s="9">
        <v>-2.09</v>
      </c>
      <c r="J13" s="9">
        <v>97.8</v>
      </c>
      <c r="K13" s="9">
        <v>100.9</v>
      </c>
      <c r="L13" s="9">
        <v>-3.1</v>
      </c>
      <c r="M13" s="9">
        <v>75.900000000000006</v>
      </c>
      <c r="N13" s="9">
        <v>0.29799999999999999</v>
      </c>
      <c r="O13" s="9">
        <v>0.247</v>
      </c>
      <c r="P13" s="9">
        <v>0.495</v>
      </c>
      <c r="Q13" s="1"/>
      <c r="R13" s="9">
        <v>0.44800000000000001</v>
      </c>
      <c r="S13" s="9">
        <v>16.100000000000001</v>
      </c>
      <c r="T13" s="9">
        <v>29</v>
      </c>
      <c r="U13" s="9">
        <v>0.224</v>
      </c>
      <c r="V13" s="1"/>
      <c r="W13" s="9">
        <v>0.46700000000000003</v>
      </c>
      <c r="X13" s="9">
        <v>15.9</v>
      </c>
      <c r="Y13" s="9">
        <v>68.599999999999994</v>
      </c>
      <c r="Z13" s="9">
        <v>0.217</v>
      </c>
      <c r="AA13" s="5"/>
      <c r="AB13" s="5"/>
      <c r="AC13" s="5">
        <f t="shared" si="1"/>
        <v>9</v>
      </c>
      <c r="AD13" s="5">
        <f t="shared" si="2"/>
        <v>10</v>
      </c>
      <c r="AE13" s="5">
        <f t="shared" si="3"/>
        <v>10</v>
      </c>
      <c r="AF13" s="5">
        <f t="shared" si="0"/>
        <v>10</v>
      </c>
      <c r="AG13" s="5">
        <f t="shared" si="4"/>
        <v>10</v>
      </c>
      <c r="AH13" s="5">
        <f t="shared" si="5"/>
        <v>10</v>
      </c>
      <c r="AI13" s="5">
        <f t="shared" si="6"/>
        <v>5</v>
      </c>
      <c r="AJ13" s="5">
        <f t="shared" si="7"/>
        <v>10</v>
      </c>
      <c r="AK13" s="5">
        <f t="shared" si="8"/>
        <v>8</v>
      </c>
      <c r="AL13" s="5">
        <f t="shared" si="9"/>
        <v>9</v>
      </c>
      <c r="AM13" s="5">
        <f t="shared" si="10"/>
        <v>10</v>
      </c>
      <c r="AN13" s="5">
        <f t="shared" si="11"/>
        <v>8</v>
      </c>
      <c r="AO13" s="5">
        <f t="shared" si="12"/>
        <v>12</v>
      </c>
      <c r="AP13" s="5">
        <f t="shared" si="13"/>
        <v>5</v>
      </c>
      <c r="AQ13" s="5">
        <f t="shared" si="14"/>
        <v>12</v>
      </c>
      <c r="AR13" s="5"/>
      <c r="AS13" s="5">
        <f t="shared" si="21"/>
        <v>10</v>
      </c>
      <c r="AT13" s="5">
        <f t="shared" si="16"/>
        <v>2</v>
      </c>
      <c r="AU13" s="5">
        <f t="shared" si="22"/>
        <v>9</v>
      </c>
      <c r="AV13" s="5">
        <f t="shared" si="17"/>
        <v>11</v>
      </c>
      <c r="AW13" s="5"/>
      <c r="AX13" s="5">
        <f t="shared" si="18"/>
        <v>8</v>
      </c>
      <c r="AY13" s="5">
        <f t="shared" si="19"/>
        <v>12</v>
      </c>
      <c r="AZ13" s="5">
        <f t="shared" si="19"/>
        <v>9</v>
      </c>
      <c r="BA13" s="5">
        <f t="shared" si="20"/>
        <v>4</v>
      </c>
    </row>
    <row r="14" spans="1:53" x14ac:dyDescent="0.25">
      <c r="A14" s="6" t="s">
        <v>44</v>
      </c>
      <c r="B14" s="8">
        <v>26.4</v>
      </c>
      <c r="C14" s="1">
        <v>11</v>
      </c>
      <c r="D14" s="1">
        <v>23</v>
      </c>
      <c r="E14" s="1">
        <v>12</v>
      </c>
      <c r="F14" s="1">
        <v>22</v>
      </c>
      <c r="G14" s="9">
        <v>-3.38</v>
      </c>
      <c r="H14" s="9">
        <v>0.37</v>
      </c>
      <c r="I14" s="9">
        <v>-3.01</v>
      </c>
      <c r="J14" s="9">
        <v>92.5</v>
      </c>
      <c r="K14" s="9">
        <v>96.9</v>
      </c>
      <c r="L14" s="9">
        <v>-4.4000000000000004</v>
      </c>
      <c r="M14" s="9">
        <v>77.7</v>
      </c>
      <c r="N14" s="9">
        <v>0.35699999999999998</v>
      </c>
      <c r="O14" s="9">
        <v>0.25</v>
      </c>
      <c r="P14" s="9">
        <v>0.48699999999999999</v>
      </c>
      <c r="Q14" s="1"/>
      <c r="R14" s="9">
        <v>0.437</v>
      </c>
      <c r="S14" s="9">
        <v>18.600000000000001</v>
      </c>
      <c r="T14" s="9">
        <v>28.5</v>
      </c>
      <c r="U14" s="9">
        <v>0.253</v>
      </c>
      <c r="V14" s="1"/>
      <c r="W14" s="9">
        <v>0.46</v>
      </c>
      <c r="X14" s="9">
        <v>19.899999999999999</v>
      </c>
      <c r="Y14" s="9">
        <v>66.900000000000006</v>
      </c>
      <c r="Z14" s="9">
        <v>0.27600000000000002</v>
      </c>
      <c r="AA14" s="5"/>
      <c r="AB14" s="5"/>
      <c r="AC14" s="5">
        <f t="shared" si="1"/>
        <v>8</v>
      </c>
      <c r="AD14" s="5">
        <f t="shared" si="2"/>
        <v>11</v>
      </c>
      <c r="AE14" s="5">
        <f t="shared" si="3"/>
        <v>11</v>
      </c>
      <c r="AF14" s="5">
        <f t="shared" si="0"/>
        <v>11</v>
      </c>
      <c r="AG14" s="5">
        <f t="shared" si="4"/>
        <v>11</v>
      </c>
      <c r="AH14" s="5">
        <f t="shared" si="5"/>
        <v>11</v>
      </c>
      <c r="AI14" s="5">
        <f t="shared" si="6"/>
        <v>4</v>
      </c>
      <c r="AJ14" s="5">
        <f t="shared" si="7"/>
        <v>11</v>
      </c>
      <c r="AK14" s="5">
        <f t="shared" si="8"/>
        <v>13</v>
      </c>
      <c r="AL14" s="5">
        <f t="shared" si="9"/>
        <v>7</v>
      </c>
      <c r="AM14" s="5">
        <f t="shared" si="10"/>
        <v>11</v>
      </c>
      <c r="AN14" s="5">
        <f t="shared" si="11"/>
        <v>2</v>
      </c>
      <c r="AO14" s="5">
        <f t="shared" si="12"/>
        <v>1</v>
      </c>
      <c r="AP14" s="5">
        <f t="shared" si="13"/>
        <v>4</v>
      </c>
      <c r="AQ14" s="5">
        <f t="shared" si="14"/>
        <v>13</v>
      </c>
      <c r="AR14" s="5"/>
      <c r="AS14" s="5">
        <f t="shared" si="21"/>
        <v>13</v>
      </c>
      <c r="AT14" s="5">
        <f t="shared" si="16"/>
        <v>11</v>
      </c>
      <c r="AU14" s="5">
        <f t="shared" si="22"/>
        <v>11</v>
      </c>
      <c r="AV14" s="5">
        <f t="shared" si="17"/>
        <v>2</v>
      </c>
      <c r="AW14" s="5"/>
      <c r="AX14" s="5">
        <f t="shared" si="18"/>
        <v>5</v>
      </c>
      <c r="AY14" s="5">
        <f t="shared" si="19"/>
        <v>3</v>
      </c>
      <c r="AZ14" s="5">
        <f t="shared" si="19"/>
        <v>12</v>
      </c>
      <c r="BA14" s="5">
        <f t="shared" si="20"/>
        <v>13</v>
      </c>
    </row>
    <row r="15" spans="1:53" x14ac:dyDescent="0.25">
      <c r="A15" s="6" t="s">
        <v>45</v>
      </c>
      <c r="B15" s="8">
        <v>24</v>
      </c>
      <c r="C15" s="1">
        <v>10</v>
      </c>
      <c r="D15" s="1">
        <v>24</v>
      </c>
      <c r="E15" s="1">
        <v>8</v>
      </c>
      <c r="F15" s="1">
        <v>26</v>
      </c>
      <c r="G15" s="9">
        <v>-6.24</v>
      </c>
      <c r="H15" s="9">
        <v>0.64</v>
      </c>
      <c r="I15" s="9">
        <v>-5.6</v>
      </c>
      <c r="J15" s="9">
        <v>96.7</v>
      </c>
      <c r="K15" s="9">
        <v>104.9</v>
      </c>
      <c r="L15" s="9">
        <v>-8.1999999999999993</v>
      </c>
      <c r="M15" s="9">
        <v>76.400000000000006</v>
      </c>
      <c r="N15" s="9">
        <v>0.308</v>
      </c>
      <c r="O15" s="9">
        <v>0.19</v>
      </c>
      <c r="P15" s="9">
        <v>0.502</v>
      </c>
      <c r="Q15" s="1"/>
      <c r="R15" s="9">
        <v>0.46100000000000002</v>
      </c>
      <c r="S15" s="9">
        <v>17.399999999999999</v>
      </c>
      <c r="T15" s="9">
        <v>29</v>
      </c>
      <c r="U15" s="9">
        <v>0.219</v>
      </c>
      <c r="V15" s="1"/>
      <c r="W15" s="9">
        <v>0.47299999999999998</v>
      </c>
      <c r="X15" s="9">
        <v>14.3</v>
      </c>
      <c r="Y15" s="9">
        <v>68.400000000000006</v>
      </c>
      <c r="Z15" s="9">
        <v>0.23699999999999999</v>
      </c>
      <c r="AA15" s="5"/>
      <c r="AB15" s="5"/>
      <c r="AC15" s="5">
        <f t="shared" si="1"/>
        <v>14</v>
      </c>
      <c r="AD15" s="5">
        <f t="shared" si="2"/>
        <v>13</v>
      </c>
      <c r="AE15" s="5">
        <f t="shared" si="3"/>
        <v>13</v>
      </c>
      <c r="AF15" s="5">
        <f t="shared" si="0"/>
        <v>12</v>
      </c>
      <c r="AG15" s="5">
        <f t="shared" si="4"/>
        <v>12</v>
      </c>
      <c r="AH15" s="5">
        <f t="shared" si="5"/>
        <v>12</v>
      </c>
      <c r="AI15" s="5">
        <f t="shared" si="6"/>
        <v>3</v>
      </c>
      <c r="AJ15" s="5">
        <f t="shared" si="7"/>
        <v>12</v>
      </c>
      <c r="AK15" s="5">
        <f t="shared" si="8"/>
        <v>10</v>
      </c>
      <c r="AL15" s="5">
        <f t="shared" si="9"/>
        <v>13</v>
      </c>
      <c r="AM15" s="5">
        <f t="shared" si="10"/>
        <v>12</v>
      </c>
      <c r="AN15" s="5">
        <f t="shared" si="11"/>
        <v>5</v>
      </c>
      <c r="AO15" s="5">
        <f t="shared" si="12"/>
        <v>10</v>
      </c>
      <c r="AP15" s="5">
        <f t="shared" si="13"/>
        <v>12</v>
      </c>
      <c r="AQ15" s="5">
        <f t="shared" si="14"/>
        <v>9</v>
      </c>
      <c r="AR15" s="5"/>
      <c r="AS15" s="5">
        <f t="shared" si="21"/>
        <v>7</v>
      </c>
      <c r="AT15" s="5">
        <f t="shared" si="16"/>
        <v>4</v>
      </c>
      <c r="AU15" s="5">
        <f t="shared" si="22"/>
        <v>9</v>
      </c>
      <c r="AV15" s="5">
        <f t="shared" si="17"/>
        <v>13</v>
      </c>
      <c r="AW15" s="5"/>
      <c r="AX15" s="5">
        <f t="shared" si="18"/>
        <v>10</v>
      </c>
      <c r="AY15" s="5">
        <f t="shared" si="19"/>
        <v>14</v>
      </c>
      <c r="AZ15" s="5">
        <f t="shared" si="19"/>
        <v>10</v>
      </c>
      <c r="BA15" s="5">
        <f t="shared" si="20"/>
        <v>5</v>
      </c>
    </row>
    <row r="16" spans="1:53" x14ac:dyDescent="0.25">
      <c r="A16" s="6" t="s">
        <v>46</v>
      </c>
      <c r="B16" s="8">
        <v>25.3</v>
      </c>
      <c r="C16" s="1">
        <v>11</v>
      </c>
      <c r="D16" s="1">
        <v>23</v>
      </c>
      <c r="E16" s="1">
        <v>6</v>
      </c>
      <c r="F16" s="1">
        <v>28</v>
      </c>
      <c r="G16" s="9">
        <v>-8.24</v>
      </c>
      <c r="H16" s="9">
        <v>0.78</v>
      </c>
      <c r="I16" s="9">
        <v>-7.64</v>
      </c>
      <c r="J16" s="9">
        <v>93</v>
      </c>
      <c r="K16" s="9">
        <v>104.4</v>
      </c>
      <c r="L16" s="9">
        <v>-11.4</v>
      </c>
      <c r="M16" s="9">
        <v>73.8</v>
      </c>
      <c r="N16" s="9">
        <v>0.314</v>
      </c>
      <c r="O16" s="9">
        <v>0.311</v>
      </c>
      <c r="P16" s="9">
        <v>0.504</v>
      </c>
      <c r="Q16" s="1"/>
      <c r="R16" s="9">
        <v>0.45</v>
      </c>
      <c r="S16" s="9">
        <v>19.8</v>
      </c>
      <c r="T16" s="9">
        <v>25.5</v>
      </c>
      <c r="U16" s="9">
        <v>0.247</v>
      </c>
      <c r="V16" s="1"/>
      <c r="W16" s="9">
        <v>0.48899999999999999</v>
      </c>
      <c r="X16" s="9">
        <v>16.600000000000001</v>
      </c>
      <c r="Y16" s="9">
        <v>68.099999999999994</v>
      </c>
      <c r="Z16" s="9">
        <v>0.25900000000000001</v>
      </c>
      <c r="AA16" s="5"/>
      <c r="AB16" s="5"/>
      <c r="AC16" s="5">
        <f t="shared" si="1"/>
        <v>12</v>
      </c>
      <c r="AD16" s="5">
        <f t="shared" si="2"/>
        <v>11</v>
      </c>
      <c r="AE16" s="5">
        <f t="shared" si="3"/>
        <v>11</v>
      </c>
      <c r="AF16" s="5">
        <f t="shared" si="0"/>
        <v>13</v>
      </c>
      <c r="AG16" s="5">
        <f t="shared" si="4"/>
        <v>13</v>
      </c>
      <c r="AH16" s="5">
        <f t="shared" si="5"/>
        <v>13</v>
      </c>
      <c r="AI16" s="5">
        <f t="shared" si="6"/>
        <v>2</v>
      </c>
      <c r="AJ16" s="5">
        <f t="shared" si="7"/>
        <v>13</v>
      </c>
      <c r="AK16" s="5">
        <f t="shared" si="8"/>
        <v>12</v>
      </c>
      <c r="AL16" s="5">
        <f t="shared" si="9"/>
        <v>11</v>
      </c>
      <c r="AM16" s="5">
        <f t="shared" si="10"/>
        <v>13</v>
      </c>
      <c r="AN16" s="5">
        <f t="shared" si="11"/>
        <v>14</v>
      </c>
      <c r="AO16" s="5">
        <f t="shared" si="12"/>
        <v>9</v>
      </c>
      <c r="AP16" s="5">
        <f t="shared" si="13"/>
        <v>1</v>
      </c>
      <c r="AQ16" s="5">
        <f t="shared" si="14"/>
        <v>7</v>
      </c>
      <c r="AR16" s="5"/>
      <c r="AS16" s="5">
        <f t="shared" si="21"/>
        <v>9</v>
      </c>
      <c r="AT16" s="5">
        <f t="shared" si="16"/>
        <v>14</v>
      </c>
      <c r="AU16" s="5">
        <f t="shared" si="22"/>
        <v>14</v>
      </c>
      <c r="AV16" s="5">
        <f t="shared" si="17"/>
        <v>4</v>
      </c>
      <c r="AW16" s="5"/>
      <c r="AX16" s="5">
        <f t="shared" si="18"/>
        <v>13</v>
      </c>
      <c r="AY16" s="5">
        <f t="shared" si="19"/>
        <v>9</v>
      </c>
      <c r="AZ16" s="5">
        <f t="shared" si="19"/>
        <v>11</v>
      </c>
      <c r="BA16" s="5">
        <f t="shared" si="20"/>
        <v>11</v>
      </c>
    </row>
    <row r="17" spans="1:53" x14ac:dyDescent="0.25">
      <c r="A17" s="6" t="s">
        <v>47</v>
      </c>
      <c r="B17" s="8">
        <v>25</v>
      </c>
      <c r="C17" s="1">
        <v>5</v>
      </c>
      <c r="D17" s="1">
        <v>29</v>
      </c>
      <c r="E17" s="1">
        <v>4</v>
      </c>
      <c r="F17" s="1">
        <v>30</v>
      </c>
      <c r="G17" s="9">
        <v>-10.74</v>
      </c>
      <c r="H17" s="9">
        <v>0.9</v>
      </c>
      <c r="I17" s="9">
        <v>-9.83</v>
      </c>
      <c r="J17" s="9">
        <v>91.6</v>
      </c>
      <c r="K17" s="9">
        <v>106</v>
      </c>
      <c r="L17" s="9">
        <v>-14.4</v>
      </c>
      <c r="M17" s="9">
        <v>74.599999999999994</v>
      </c>
      <c r="N17" s="9">
        <v>0.29599999999999999</v>
      </c>
      <c r="O17" s="9">
        <v>0.246</v>
      </c>
      <c r="P17" s="9">
        <v>0.47199999999999998</v>
      </c>
      <c r="Q17" s="1"/>
      <c r="R17" s="9">
        <v>0.43099999999999999</v>
      </c>
      <c r="S17" s="9">
        <v>17.7</v>
      </c>
      <c r="T17" s="9">
        <v>29.3</v>
      </c>
      <c r="U17" s="9">
        <v>0.20599999999999999</v>
      </c>
      <c r="V17" s="1"/>
      <c r="W17" s="9">
        <v>0.499</v>
      </c>
      <c r="X17" s="9">
        <v>17.8</v>
      </c>
      <c r="Y17" s="9">
        <v>64.2</v>
      </c>
      <c r="Z17" s="9">
        <v>0.254</v>
      </c>
      <c r="AA17" s="5"/>
      <c r="AB17" s="5"/>
      <c r="AC17" s="5">
        <f t="shared" si="1"/>
        <v>13</v>
      </c>
      <c r="AD17" s="5">
        <f t="shared" si="2"/>
        <v>14</v>
      </c>
      <c r="AE17" s="5">
        <f t="shared" si="3"/>
        <v>14</v>
      </c>
      <c r="AF17" s="5">
        <f t="shared" si="0"/>
        <v>14</v>
      </c>
      <c r="AG17" s="5">
        <f t="shared" si="4"/>
        <v>14</v>
      </c>
      <c r="AH17" s="5">
        <f t="shared" si="5"/>
        <v>14</v>
      </c>
      <c r="AI17" s="5">
        <f t="shared" si="6"/>
        <v>1</v>
      </c>
      <c r="AJ17" s="5">
        <f t="shared" si="7"/>
        <v>14</v>
      </c>
      <c r="AK17" s="5">
        <f t="shared" si="8"/>
        <v>14</v>
      </c>
      <c r="AL17" s="5">
        <f t="shared" si="9"/>
        <v>14</v>
      </c>
      <c r="AM17" s="5">
        <f t="shared" si="10"/>
        <v>14</v>
      </c>
      <c r="AN17" s="5">
        <f t="shared" si="11"/>
        <v>11</v>
      </c>
      <c r="AO17" s="5">
        <f t="shared" si="12"/>
        <v>13</v>
      </c>
      <c r="AP17" s="5">
        <f t="shared" si="13"/>
        <v>6</v>
      </c>
      <c r="AQ17" s="5">
        <f t="shared" si="14"/>
        <v>14</v>
      </c>
      <c r="AR17" s="5"/>
      <c r="AS17" s="5">
        <f t="shared" si="21"/>
        <v>14</v>
      </c>
      <c r="AT17" s="5">
        <f t="shared" si="16"/>
        <v>7</v>
      </c>
      <c r="AU17" s="5">
        <f t="shared" si="22"/>
        <v>8</v>
      </c>
      <c r="AV17" s="5">
        <f t="shared" si="17"/>
        <v>14</v>
      </c>
      <c r="AW17" s="5"/>
      <c r="AX17" s="5">
        <f t="shared" si="18"/>
        <v>14</v>
      </c>
      <c r="AY17" s="5">
        <f t="shared" si="19"/>
        <v>6</v>
      </c>
      <c r="AZ17" s="5">
        <f t="shared" si="19"/>
        <v>14</v>
      </c>
      <c r="BA17" s="5">
        <f t="shared" si="20"/>
        <v>10</v>
      </c>
    </row>
    <row r="18" spans="1:53" x14ac:dyDescent="0.25">
      <c r="A18" s="6"/>
      <c r="B18" s="1"/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1"/>
      <c r="R18" s="9"/>
      <c r="S18" s="9"/>
      <c r="T18" s="9"/>
      <c r="U18" s="9"/>
      <c r="V18" s="1"/>
      <c r="W18" s="9"/>
      <c r="X18" s="9"/>
      <c r="Y18" s="9"/>
      <c r="Z18" s="9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/>
      <c r="S19" s="9"/>
      <c r="T19" s="9"/>
      <c r="U19" s="9"/>
      <c r="V19" s="1"/>
      <c r="W19" s="1"/>
      <c r="X19" s="1"/>
      <c r="Y19" s="1"/>
      <c r="Z19" s="1"/>
      <c r="AA19" s="5"/>
      <c r="AB19" s="5"/>
    </row>
    <row r="20" spans="1:53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5"/>
    </row>
    <row r="21" spans="1:53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  <c r="AB21" s="5"/>
    </row>
    <row r="22" spans="1:53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  <c r="AB22" s="5"/>
    </row>
    <row r="23" spans="1:53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5"/>
    </row>
    <row r="24" spans="1:53" ht="15.75" customHeight="1" x14ac:dyDescent="0.25">
      <c r="A24" s="6" t="s">
        <v>41</v>
      </c>
      <c r="B24" s="9">
        <f>AVERAGE(B4:B22)</f>
        <v>26.514285714285712</v>
      </c>
      <c r="C24" s="9">
        <f t="shared" ref="C24:Z24" si="23">AVERAGE(C4:C22)</f>
        <v>17</v>
      </c>
      <c r="D24" s="9">
        <f t="shared" si="23"/>
        <v>17</v>
      </c>
      <c r="E24" s="9">
        <f t="shared" si="23"/>
        <v>17.428571428571427</v>
      </c>
      <c r="F24" s="9">
        <f t="shared" si="23"/>
        <v>16.571428571428573</v>
      </c>
      <c r="G24" s="9">
        <f t="shared" si="23"/>
        <v>0</v>
      </c>
      <c r="H24" s="9">
        <f t="shared" si="23"/>
        <v>7.1428571428569108E-4</v>
      </c>
      <c r="I24" s="9">
        <f t="shared" si="23"/>
        <v>7.1428571428544529E-4</v>
      </c>
      <c r="J24" s="9">
        <f t="shared" si="23"/>
        <v>98.399999999999977</v>
      </c>
      <c r="K24" s="9">
        <f t="shared" si="23"/>
        <v>98.464285714285737</v>
      </c>
      <c r="L24" s="9">
        <f t="shared" si="23"/>
        <v>-6.4285714285714182E-2</v>
      </c>
      <c r="M24" s="9">
        <f t="shared" si="23"/>
        <v>75.892857142857139</v>
      </c>
      <c r="N24" s="9">
        <f t="shared" si="23"/>
        <v>0.31892857142857139</v>
      </c>
      <c r="O24" s="9">
        <f t="shared" si="23"/>
        <v>0.23442857142857143</v>
      </c>
      <c r="P24" s="9">
        <f t="shared" si="23"/>
        <v>0.51128571428571423</v>
      </c>
      <c r="Q24" s="9"/>
      <c r="R24" s="9">
        <f t="shared" si="23"/>
        <v>0.46407142857142863</v>
      </c>
      <c r="S24" s="9">
        <f t="shared" si="23"/>
        <v>17.628571428571426</v>
      </c>
      <c r="T24" s="9">
        <f t="shared" si="23"/>
        <v>30.278571428571428</v>
      </c>
      <c r="U24" s="9">
        <f t="shared" si="23"/>
        <v>0.23828571428571427</v>
      </c>
      <c r="V24" s="9"/>
      <c r="W24" s="9">
        <f t="shared" si="23"/>
        <v>0.46457142857142847</v>
      </c>
      <c r="X24" s="9">
        <f t="shared" si="23"/>
        <v>17.62857142857143</v>
      </c>
      <c r="Y24" s="9">
        <f t="shared" si="23"/>
        <v>69.692857142857136</v>
      </c>
      <c r="Z24" s="9">
        <f t="shared" si="23"/>
        <v>0.23871428571428568</v>
      </c>
      <c r="AA24" s="5"/>
      <c r="AB24" s="5"/>
    </row>
    <row r="25" spans="1:53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  <c r="AB25" s="5"/>
    </row>
    <row r="26" spans="1:53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  <c r="AB26" s="5"/>
    </row>
    <row r="27" spans="1:53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5"/>
    </row>
    <row r="28" spans="1:53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5"/>
    </row>
    <row r="29" spans="1:5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"/>
      <c r="AB29" s="5"/>
    </row>
    <row r="30" spans="1:53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  <c r="AB30" s="5"/>
    </row>
    <row r="31" spans="1:53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5"/>
    </row>
    <row r="32" spans="1:53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5"/>
    </row>
    <row r="33" spans="1:28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/>
      <c r="AB33" s="5"/>
    </row>
    <row r="34" spans="1:28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/>
      <c r="AB34" s="5"/>
    </row>
    <row r="35" spans="1:28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  <c r="AB35" s="5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  <c r="AB36" s="5"/>
    </row>
    <row r="37" spans="1:28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"/>
      <c r="AB37" s="5"/>
    </row>
    <row r="38" spans="1:28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"/>
      <c r="AB38" s="5"/>
    </row>
    <row r="39" spans="1:28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  <c r="AB39" s="5"/>
    </row>
    <row r="40" spans="1:28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  <c r="AB40" s="5"/>
    </row>
    <row r="41" spans="1:28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"/>
      <c r="AB41" s="5"/>
    </row>
    <row r="42" spans="1:28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"/>
      <c r="AB42" s="5"/>
    </row>
    <row r="43" spans="1:28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  <c r="AB43" s="5"/>
    </row>
    <row r="44" spans="1:28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  <c r="AB44" s="5"/>
    </row>
    <row r="45" spans="1:28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5"/>
      <c r="AB45" s="5"/>
    </row>
    <row r="46" spans="1:28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/>
      <c r="AB46" s="5"/>
    </row>
    <row r="47" spans="1:28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"/>
      <c r="AB47" s="5"/>
    </row>
    <row r="48" spans="1:28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"/>
      <c r="AB48" s="5"/>
    </row>
    <row r="49" spans="1:28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5"/>
      <c r="AB49" s="5"/>
    </row>
    <row r="50" spans="1:28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/>
      <c r="AB50" s="5"/>
    </row>
    <row r="51" spans="1:28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"/>
      <c r="AB51" s="5"/>
    </row>
    <row r="52" spans="1:28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"/>
      <c r="AB52" s="5"/>
    </row>
    <row r="53" spans="1:28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"/>
      <c r="AB53" s="5"/>
    </row>
    <row r="54" spans="1:28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"/>
      <c r="AB54" s="5"/>
    </row>
    <row r="55" spans="1:28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"/>
      <c r="AB55" s="5"/>
    </row>
    <row r="56" spans="1:28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/>
      <c r="AB56" s="5"/>
    </row>
    <row r="57" spans="1:28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"/>
      <c r="AB57" s="5"/>
    </row>
    <row r="58" spans="1:28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"/>
      <c r="AB58" s="5"/>
    </row>
    <row r="59" spans="1:28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"/>
      <c r="AB59" s="5"/>
    </row>
    <row r="60" spans="1:28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"/>
      <c r="AB60" s="5"/>
    </row>
    <row r="61" spans="1:28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"/>
      <c r="AB61" s="5"/>
    </row>
    <row r="62" spans="1:28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5"/>
      <c r="AB62" s="5"/>
    </row>
    <row r="63" spans="1:28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5"/>
      <c r="AB63" s="5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"/>
      <c r="AB64" s="5"/>
    </row>
    <row r="65" spans="1:28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"/>
      <c r="AB65" s="5"/>
    </row>
    <row r="66" spans="1:28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"/>
      <c r="AB66" s="5"/>
    </row>
    <row r="67" spans="1:28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"/>
      <c r="AB67" s="5"/>
    </row>
    <row r="68" spans="1:28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"/>
      <c r="AB68" s="5"/>
    </row>
    <row r="69" spans="1:28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"/>
      <c r="AB69" s="5"/>
    </row>
    <row r="70" spans="1:28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"/>
      <c r="AB70" s="5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"/>
      <c r="AB71" s="5"/>
    </row>
    <row r="72" spans="1:28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"/>
      <c r="AB72" s="5"/>
    </row>
    <row r="73" spans="1:28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"/>
      <c r="AB73" s="5"/>
    </row>
    <row r="74" spans="1:28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"/>
      <c r="AB74" s="5"/>
    </row>
    <row r="75" spans="1:28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"/>
      <c r="AB75" s="5"/>
    </row>
    <row r="76" spans="1:28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"/>
      <c r="AB76" s="5"/>
    </row>
    <row r="77" spans="1:28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"/>
      <c r="AB77" s="5"/>
    </row>
    <row r="78" spans="1:28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"/>
      <c r="AB78" s="5"/>
    </row>
    <row r="79" spans="1:28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"/>
      <c r="AB79" s="5"/>
    </row>
    <row r="80" spans="1:28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"/>
      <c r="AB80" s="5"/>
    </row>
    <row r="81" spans="1:28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"/>
      <c r="AB81" s="5"/>
    </row>
    <row r="82" spans="1:28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"/>
      <c r="AB82" s="5"/>
    </row>
    <row r="83" spans="1:28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"/>
      <c r="AB83" s="5"/>
    </row>
    <row r="84" spans="1:28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"/>
      <c r="AB84" s="5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"/>
      <c r="AB85" s="5"/>
    </row>
    <row r="86" spans="1:28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"/>
      <c r="AB86" s="5"/>
    </row>
    <row r="87" spans="1:28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"/>
      <c r="AB87" s="5"/>
    </row>
    <row r="88" spans="1:28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"/>
      <c r="AB88" s="5"/>
    </row>
    <row r="89" spans="1:28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"/>
      <c r="AB89" s="5"/>
    </row>
    <row r="90" spans="1:28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"/>
      <c r="AB90" s="5"/>
    </row>
    <row r="91" spans="1:28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"/>
      <c r="AB91" s="5"/>
    </row>
    <row r="92" spans="1:28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"/>
      <c r="AB92" s="5"/>
    </row>
    <row r="93" spans="1:28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"/>
      <c r="AB93" s="5"/>
    </row>
    <row r="94" spans="1:28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"/>
      <c r="AB94" s="5"/>
    </row>
    <row r="95" spans="1:28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"/>
      <c r="AB95" s="5"/>
    </row>
    <row r="96" spans="1:28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"/>
      <c r="AB96" s="5"/>
    </row>
    <row r="97" spans="1:28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"/>
      <c r="AB97" s="5"/>
    </row>
    <row r="98" spans="1:28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"/>
      <c r="AB98" s="5"/>
    </row>
    <row r="99" spans="1:28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"/>
      <c r="AB99" s="5"/>
    </row>
    <row r="100" spans="1:28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"/>
      <c r="AB100" s="5"/>
    </row>
    <row r="101" spans="1:28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"/>
      <c r="AB101" s="5"/>
    </row>
    <row r="102" spans="1:28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"/>
      <c r="AB102" s="5"/>
    </row>
    <row r="103" spans="1:28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"/>
      <c r="AB103" s="5"/>
    </row>
    <row r="104" spans="1:28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"/>
      <c r="AB104" s="5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"/>
      <c r="AB105" s="5"/>
    </row>
    <row r="106" spans="1:28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</row>
    <row r="107" spans="1:28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"/>
      <c r="AB107" s="5"/>
    </row>
    <row r="108" spans="1:28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"/>
      <c r="AB108" s="5"/>
    </row>
    <row r="109" spans="1:28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"/>
      <c r="AB109" s="5"/>
    </row>
    <row r="110" spans="1:28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"/>
      <c r="AB110" s="5"/>
    </row>
    <row r="111" spans="1:28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"/>
      <c r="AB111" s="5"/>
    </row>
    <row r="112" spans="1:28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"/>
      <c r="AB112" s="5"/>
    </row>
    <row r="113" spans="1:28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"/>
      <c r="AB113" s="5"/>
    </row>
    <row r="114" spans="1:28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"/>
      <c r="AB114" s="5"/>
    </row>
    <row r="115" spans="1:28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"/>
      <c r="AB115" s="5"/>
    </row>
    <row r="116" spans="1:28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"/>
      <c r="AB116" s="5"/>
    </row>
    <row r="117" spans="1:28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"/>
      <c r="AB117" s="5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"/>
      <c r="AB118" s="5"/>
    </row>
    <row r="119" spans="1:28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"/>
      <c r="AB119" s="5"/>
    </row>
    <row r="120" spans="1:28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"/>
      <c r="AB120" s="5"/>
    </row>
    <row r="121" spans="1:28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"/>
      <c r="AB121" s="5"/>
    </row>
    <row r="122" spans="1:28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"/>
      <c r="AB122" s="5"/>
    </row>
    <row r="123" spans="1:28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"/>
      <c r="AB123" s="5"/>
    </row>
    <row r="124" spans="1:28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"/>
      <c r="AB124" s="5"/>
    </row>
    <row r="125" spans="1:28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"/>
      <c r="AB125" s="5"/>
    </row>
    <row r="126" spans="1:28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"/>
      <c r="AB126" s="5"/>
    </row>
    <row r="127" spans="1:28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"/>
      <c r="AB127" s="5"/>
    </row>
    <row r="128" spans="1:28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"/>
      <c r="AB128" s="5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"/>
      <c r="AB129" s="5"/>
    </row>
    <row r="130" spans="1:28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"/>
      <c r="AB130" s="5"/>
    </row>
    <row r="131" spans="1:28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"/>
      <c r="AB131" s="5"/>
    </row>
    <row r="132" spans="1:28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"/>
      <c r="AB132" s="5"/>
    </row>
    <row r="133" spans="1:28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"/>
      <c r="AB133" s="5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"/>
      <c r="AB134" s="5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"/>
      <c r="AB135" s="5"/>
    </row>
    <row r="136" spans="1:28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"/>
      <c r="AB136" s="5"/>
    </row>
    <row r="137" spans="1:28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"/>
      <c r="AB137" s="5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"/>
      <c r="AB138" s="5"/>
    </row>
    <row r="139" spans="1:28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"/>
      <c r="AB139" s="5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5"/>
      <c r="AB140" s="5"/>
    </row>
    <row r="141" spans="1:28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5"/>
      <c r="AB141" s="5"/>
    </row>
    <row r="142" spans="1:28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5"/>
      <c r="AB142" s="5"/>
    </row>
    <row r="143" spans="1:28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"/>
      <c r="AB143" s="5"/>
    </row>
    <row r="144" spans="1:28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5"/>
      <c r="AB144" s="5"/>
    </row>
    <row r="145" spans="1:28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5"/>
      <c r="AB145" s="5"/>
    </row>
    <row r="146" spans="1:28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5"/>
      <c r="AB146" s="5"/>
    </row>
    <row r="147" spans="1:28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5"/>
      <c r="AB147" s="5"/>
    </row>
    <row r="148" spans="1:28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5"/>
      <c r="AB148" s="5"/>
    </row>
    <row r="149" spans="1:28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5"/>
      <c r="AB149" s="5"/>
    </row>
    <row r="150" spans="1:28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5"/>
      <c r="AB150" s="5"/>
    </row>
    <row r="151" spans="1:28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5"/>
      <c r="AB151" s="5"/>
    </row>
    <row r="152" spans="1:28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5"/>
      <c r="AB152" s="5"/>
    </row>
    <row r="153" spans="1:28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5"/>
      <c r="AB153" s="5"/>
    </row>
    <row r="154" spans="1:28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"/>
      <c r="AB154" s="5"/>
    </row>
    <row r="155" spans="1:28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/>
      <c r="AB155" s="5"/>
    </row>
    <row r="156" spans="1:28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/>
      <c r="AB156" s="5"/>
    </row>
    <row r="157" spans="1:28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"/>
      <c r="AB157" s="5"/>
    </row>
    <row r="158" spans="1:28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"/>
      <c r="AB158" s="5"/>
    </row>
    <row r="159" spans="1:28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"/>
      <c r="AB159" s="5"/>
    </row>
    <row r="160" spans="1:28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"/>
      <c r="AB160" s="5"/>
    </row>
    <row r="161" spans="1:28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"/>
      <c r="AB161" s="5"/>
    </row>
    <row r="162" spans="1:28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"/>
      <c r="AB162" s="5"/>
    </row>
    <row r="163" spans="1:28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"/>
      <c r="AB163" s="5"/>
    </row>
    <row r="164" spans="1:28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"/>
      <c r="AB164" s="5"/>
    </row>
    <row r="165" spans="1:28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"/>
      <c r="AB165" s="5"/>
    </row>
    <row r="166" spans="1:28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"/>
      <c r="AB166" s="5"/>
    </row>
    <row r="167" spans="1:28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"/>
      <c r="AB167" s="5"/>
    </row>
    <row r="168" spans="1:28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"/>
      <c r="AB168" s="5"/>
    </row>
    <row r="169" spans="1:28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"/>
      <c r="AB169" s="5"/>
    </row>
    <row r="170" spans="1:28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"/>
      <c r="AB170" s="5"/>
    </row>
    <row r="171" spans="1:28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"/>
      <c r="AB171" s="5"/>
    </row>
    <row r="172" spans="1:28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"/>
      <c r="AB172" s="5"/>
    </row>
    <row r="173" spans="1:28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"/>
      <c r="AB173" s="5"/>
    </row>
    <row r="174" spans="1:28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"/>
      <c r="AB174" s="5"/>
    </row>
    <row r="175" spans="1:28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"/>
      <c r="AB175" s="5"/>
    </row>
    <row r="176" spans="1:28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"/>
      <c r="AB176" s="5"/>
    </row>
    <row r="177" spans="1:28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"/>
      <c r="AB177" s="5"/>
    </row>
    <row r="178" spans="1:28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"/>
      <c r="AB178" s="5"/>
    </row>
    <row r="179" spans="1:28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"/>
      <c r="AB179" s="5"/>
    </row>
    <row r="180" spans="1:28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"/>
      <c r="AB180" s="5"/>
    </row>
    <row r="181" spans="1:28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"/>
      <c r="AB181" s="5"/>
    </row>
    <row r="182" spans="1:28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"/>
      <c r="AB182" s="5"/>
    </row>
    <row r="183" spans="1:28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"/>
      <c r="AB183" s="5"/>
    </row>
    <row r="184" spans="1:28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"/>
      <c r="AB184" s="5"/>
    </row>
    <row r="185" spans="1:28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"/>
      <c r="AB185" s="5"/>
    </row>
    <row r="186" spans="1:28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"/>
      <c r="AB186" s="5"/>
    </row>
    <row r="187" spans="1:28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"/>
      <c r="AB187" s="5"/>
    </row>
    <row r="188" spans="1:28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"/>
      <c r="AB188" s="5"/>
    </row>
    <row r="189" spans="1:28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"/>
      <c r="AB189" s="5"/>
    </row>
    <row r="190" spans="1:28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"/>
      <c r="AB190" s="5"/>
    </row>
    <row r="191" spans="1:28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"/>
      <c r="AB191" s="5"/>
    </row>
    <row r="192" spans="1:28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"/>
      <c r="AB192" s="5"/>
    </row>
    <row r="193" spans="1:28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"/>
      <c r="AB193" s="5"/>
    </row>
    <row r="194" spans="1:28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"/>
      <c r="AB194" s="5"/>
    </row>
    <row r="195" spans="1:28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"/>
      <c r="AB195" s="5"/>
    </row>
    <row r="196" spans="1:28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"/>
      <c r="AB196" s="5"/>
    </row>
    <row r="197" spans="1:28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"/>
      <c r="AB197" s="5"/>
    </row>
    <row r="198" spans="1:28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5"/>
      <c r="AB198" s="5"/>
    </row>
    <row r="199" spans="1:28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5"/>
      <c r="AB199" s="5"/>
    </row>
    <row r="200" spans="1:28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5"/>
    </row>
    <row r="201" spans="1:28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5"/>
    </row>
    <row r="202" spans="1:28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5"/>
    </row>
    <row r="203" spans="1:28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5"/>
    </row>
    <row r="204" spans="1:28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5"/>
    </row>
    <row r="205" spans="1:28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5"/>
    </row>
    <row r="206" spans="1:28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5"/>
    </row>
    <row r="207" spans="1:28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5"/>
    </row>
    <row r="208" spans="1:28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5"/>
    </row>
    <row r="209" spans="1:28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5"/>
    </row>
    <row r="210" spans="1:28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</row>
    <row r="211" spans="1:28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5"/>
    </row>
    <row r="212" spans="1:28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5"/>
    </row>
    <row r="213" spans="1:28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5"/>
    </row>
    <row r="214" spans="1:28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5"/>
    </row>
    <row r="215" spans="1:28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5"/>
    </row>
    <row r="216" spans="1:28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5"/>
    </row>
    <row r="217" spans="1:28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</row>
    <row r="218" spans="1:28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</row>
    <row r="219" spans="1:28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</row>
    <row r="220" spans="1:28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</row>
    <row r="221" spans="1:28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</row>
    <row r="222" spans="1:28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</row>
    <row r="223" spans="1:28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</row>
    <row r="224" spans="1:28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</row>
    <row r="225" spans="1:28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</row>
    <row r="226" spans="1:28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</row>
    <row r="227" spans="1:28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</row>
    <row r="228" spans="1:28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</row>
    <row r="229" spans="1:28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</row>
    <row r="230" spans="1:28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</row>
    <row r="231" spans="1:28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</row>
    <row r="232" spans="1:28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</row>
    <row r="233" spans="1:28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</row>
    <row r="234" spans="1:28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</row>
    <row r="235" spans="1:28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</row>
    <row r="236" spans="1:28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</row>
    <row r="237" spans="1:28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</row>
    <row r="238" spans="1:28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</row>
    <row r="239" spans="1:28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</row>
    <row r="240" spans="1:28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</row>
    <row r="241" spans="1:28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5"/>
    </row>
    <row r="242" spans="1:28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5"/>
    </row>
    <row r="243" spans="1:28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5"/>
    </row>
    <row r="244" spans="1:28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5"/>
    </row>
    <row r="245" spans="1:28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5"/>
    </row>
    <row r="246" spans="1:28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</row>
    <row r="247" spans="1:28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</row>
    <row r="248" spans="1:28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</row>
    <row r="249" spans="1:28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</row>
    <row r="250" spans="1:28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</row>
    <row r="251" spans="1:28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</row>
    <row r="252" spans="1:28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5"/>
    </row>
    <row r="253" spans="1:28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5"/>
    </row>
    <row r="254" spans="1:28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5"/>
    </row>
    <row r="255" spans="1:28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5"/>
    </row>
    <row r="256" spans="1:28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</row>
    <row r="257" spans="1:28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</row>
    <row r="258" spans="1:28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</row>
    <row r="259" spans="1:28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</row>
    <row r="260" spans="1:28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</row>
    <row r="261" spans="1:28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5"/>
    </row>
    <row r="262" spans="1:28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5"/>
    </row>
    <row r="263" spans="1:28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5"/>
    </row>
    <row r="264" spans="1:28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</row>
    <row r="265" spans="1:28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5"/>
    </row>
    <row r="266" spans="1:28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</row>
    <row r="267" spans="1:28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</row>
    <row r="268" spans="1:28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</row>
    <row r="269" spans="1:28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</row>
    <row r="270" spans="1:28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</row>
    <row r="271" spans="1:28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</row>
    <row r="272" spans="1:28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</row>
    <row r="273" spans="1:28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</row>
    <row r="274" spans="1:28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</row>
    <row r="275" spans="1:28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</row>
    <row r="276" spans="1:28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</row>
    <row r="277" spans="1:28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5"/>
    </row>
    <row r="278" spans="1:28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</row>
    <row r="279" spans="1:28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</row>
    <row r="280" spans="1:28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</row>
    <row r="281" spans="1:28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</row>
    <row r="282" spans="1:28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5"/>
    </row>
    <row r="283" spans="1:28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</row>
    <row r="284" spans="1:28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</row>
    <row r="285" spans="1:28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</row>
    <row r="286" spans="1:28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</row>
    <row r="287" spans="1:28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</row>
    <row r="288" spans="1:28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5"/>
    </row>
    <row r="289" spans="1:28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</row>
    <row r="290" spans="1:28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</row>
    <row r="291" spans="1:28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</row>
    <row r="292" spans="1:28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</row>
    <row r="293" spans="1:28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</row>
    <row r="294" spans="1:28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</row>
    <row r="295" spans="1:28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</row>
    <row r="296" spans="1:28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</row>
    <row r="297" spans="1:28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</row>
    <row r="298" spans="1:28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</row>
    <row r="299" spans="1:28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</row>
    <row r="300" spans="1:28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8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8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8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8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</sheetData>
  <mergeCells count="8">
    <mergeCell ref="AC1:BA1"/>
    <mergeCell ref="A1:Z1"/>
    <mergeCell ref="R2:U2"/>
    <mergeCell ref="W2:Z2"/>
    <mergeCell ref="B2:P2"/>
    <mergeCell ref="AC2:AQ2"/>
    <mergeCell ref="AS2:AV2"/>
    <mergeCell ref="AX2:BA2"/>
  </mergeCells>
  <pageMargins left="0.7" right="0.7" top="0.75" bottom="0.75" header="0" footer="0"/>
  <pageSetup orientation="landscape" r:id="rId1"/>
  <ignoredErrors>
    <ignoredError sqref="AE4:AE17 AF4:AF17 AG4:AG17 AL4:AL17 AT4:AT1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05FD-CD9C-4286-96FB-DD9B1839DD94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6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44</v>
      </c>
      <c r="B4" s="7">
        <v>34</v>
      </c>
      <c r="C4" s="1">
        <v>6825</v>
      </c>
      <c r="D4" s="9">
        <v>0.39700000000000002</v>
      </c>
      <c r="E4" s="9">
        <v>10.6</v>
      </c>
      <c r="F4" s="9"/>
      <c r="G4" s="9">
        <v>0.75</v>
      </c>
      <c r="H4" s="9">
        <v>0.34599999999999997</v>
      </c>
      <c r="I4" s="9">
        <v>0.14000000000000001</v>
      </c>
      <c r="J4" s="9">
        <v>0.16300000000000001</v>
      </c>
      <c r="K4" s="9">
        <v>0.10100000000000001</v>
      </c>
      <c r="L4" s="9">
        <v>0.25</v>
      </c>
      <c r="M4" s="9"/>
      <c r="N4" s="9">
        <v>0.42099999999999999</v>
      </c>
      <c r="O4" s="9">
        <v>0.51600000000000001</v>
      </c>
      <c r="P4" s="9">
        <v>0.32600000000000001</v>
      </c>
      <c r="Q4" s="9">
        <v>0.33400000000000002</v>
      </c>
      <c r="R4" s="9">
        <v>0.36799999999999999</v>
      </c>
      <c r="S4" s="9">
        <v>0.32400000000000001</v>
      </c>
      <c r="T4" s="9"/>
      <c r="U4" s="9">
        <v>0.54200000000000004</v>
      </c>
      <c r="V4" s="9">
        <v>0.875</v>
      </c>
      <c r="W4" s="9"/>
      <c r="X4" s="10">
        <v>6.8000000000000005E-2</v>
      </c>
      <c r="Y4" s="10">
        <v>0.16200000000000001</v>
      </c>
      <c r="Z4" s="5"/>
      <c r="AA4" s="5"/>
      <c r="AB4" s="5">
        <f t="shared" ref="AB4:AB18" si="0">RANK(D4,D$4:D$18,0)</f>
        <v>12</v>
      </c>
      <c r="AC4" s="5"/>
      <c r="AD4" s="5">
        <f t="shared" ref="AD4:AD18" si="1">RANK(G4,G$4:G$18,0)</f>
        <v>11</v>
      </c>
      <c r="AE4" s="5">
        <f t="shared" ref="AE4:AE18" si="2">RANK(H4,H$4:H$18,0)</f>
        <v>1</v>
      </c>
      <c r="AF4" s="5">
        <f t="shared" ref="AF4:AF18" si="3">RANK(I4,I$4:I$18,0)</f>
        <v>11</v>
      </c>
      <c r="AG4" s="5">
        <f t="shared" ref="AG4:AG18" si="4">RANK(J4,J$4:J$18,0)</f>
        <v>14</v>
      </c>
      <c r="AH4" s="5">
        <f t="shared" ref="AH4:AH18" si="5">RANK(K4,K$4:K$18,0)</f>
        <v>8</v>
      </c>
      <c r="AI4" s="5">
        <f t="shared" ref="AI4:AI18" si="6">RANK(L4,L$4:L$18,0)</f>
        <v>4</v>
      </c>
      <c r="AJ4" s="5"/>
      <c r="AK4" s="5">
        <f t="shared" ref="AK4:AK18" si="7">RANK(N4,N$4:N$18,0)</f>
        <v>14</v>
      </c>
      <c r="AL4" s="5">
        <f t="shared" ref="AL4:AL18" si="8">RANK(O4,O$4:O$18,0)</f>
        <v>14</v>
      </c>
      <c r="AM4" s="5">
        <f t="shared" ref="AM4:AM18" si="9">RANK(P4,P$4:P$18,0)</f>
        <v>13</v>
      </c>
      <c r="AN4" s="5">
        <f t="shared" ref="AN4:AN18" si="10">RANK(Q4,Q$4:Q$18,0)</f>
        <v>11</v>
      </c>
      <c r="AO4" s="5">
        <f t="shared" ref="AO4:AO18" si="11">RANK(R4,R$4:R$18,0)</f>
        <v>11</v>
      </c>
      <c r="AP4" s="5">
        <f t="shared" ref="AP4:AP18" si="12">RANK(S4,S$4:S$18,0)</f>
        <v>11</v>
      </c>
      <c r="AQ4" s="5"/>
      <c r="AR4" s="5">
        <f t="shared" ref="AR4:AR18" si="13">RANK(U4,U$4:U$18,0)</f>
        <v>4</v>
      </c>
      <c r="AS4" s="5">
        <f t="shared" ref="AS4:AS18" si="14">RANK(V4,V$4:V$18,0)</f>
        <v>2</v>
      </c>
      <c r="AT4" s="5"/>
      <c r="AU4" s="5">
        <f t="shared" ref="AU4:AU18" si="15">RANK(X4,X$4:X$18,0)</f>
        <v>14</v>
      </c>
      <c r="AV4" s="5">
        <f t="shared" ref="AV4:AV18" si="16">RANK(Y4,Y$4:Y$18,0)</f>
        <v>14</v>
      </c>
    </row>
    <row r="5" spans="1:48" x14ac:dyDescent="0.25">
      <c r="A5" s="6" t="s">
        <v>47</v>
      </c>
      <c r="B5" s="7">
        <v>34</v>
      </c>
      <c r="C5" s="1">
        <v>6800</v>
      </c>
      <c r="D5" s="9">
        <v>0.39400000000000002</v>
      </c>
      <c r="E5" s="9">
        <v>11</v>
      </c>
      <c r="F5" s="9"/>
      <c r="G5" s="9">
        <v>0.754</v>
      </c>
      <c r="H5" s="9">
        <v>0.30399999999999999</v>
      </c>
      <c r="I5" s="9">
        <v>0.16700000000000001</v>
      </c>
      <c r="J5" s="9">
        <v>0.17499999999999999</v>
      </c>
      <c r="K5" s="9">
        <v>0.108</v>
      </c>
      <c r="L5" s="9">
        <v>0.246</v>
      </c>
      <c r="M5" s="9"/>
      <c r="N5" s="9">
        <v>0.42799999999999999</v>
      </c>
      <c r="O5" s="9">
        <v>0.53900000000000003</v>
      </c>
      <c r="P5" s="9">
        <v>0.40799999999999997</v>
      </c>
      <c r="Q5" s="9">
        <v>0.35199999999999998</v>
      </c>
      <c r="R5" s="9">
        <v>0.26900000000000002</v>
      </c>
      <c r="S5" s="9">
        <v>0.29299999999999998</v>
      </c>
      <c r="T5" s="9"/>
      <c r="U5" s="9">
        <v>0.53400000000000003</v>
      </c>
      <c r="V5" s="9">
        <v>0.86</v>
      </c>
      <c r="W5" s="9"/>
      <c r="X5" s="10">
        <v>0.11</v>
      </c>
      <c r="Y5" s="10">
        <v>0.28799999999999998</v>
      </c>
      <c r="Z5" s="5"/>
      <c r="AA5" s="5"/>
      <c r="AB5" s="5">
        <f t="shared" si="0"/>
        <v>14</v>
      </c>
      <c r="AC5" s="5"/>
      <c r="AD5" s="5">
        <f t="shared" si="1"/>
        <v>9</v>
      </c>
      <c r="AE5" s="5">
        <f t="shared" si="2"/>
        <v>5</v>
      </c>
      <c r="AF5" s="5">
        <f t="shared" si="3"/>
        <v>7</v>
      </c>
      <c r="AG5" s="5">
        <f t="shared" si="4"/>
        <v>11</v>
      </c>
      <c r="AH5" s="5">
        <f t="shared" si="5"/>
        <v>6</v>
      </c>
      <c r="AI5" s="5">
        <f t="shared" si="6"/>
        <v>6</v>
      </c>
      <c r="AJ5" s="5"/>
      <c r="AK5" s="5">
        <f t="shared" si="7"/>
        <v>11</v>
      </c>
      <c r="AL5" s="5">
        <f t="shared" si="8"/>
        <v>12</v>
      </c>
      <c r="AM5" s="5">
        <f t="shared" si="9"/>
        <v>3</v>
      </c>
      <c r="AN5" s="5">
        <f t="shared" si="10"/>
        <v>8</v>
      </c>
      <c r="AO5" s="5">
        <f t="shared" si="11"/>
        <v>14</v>
      </c>
      <c r="AP5" s="5">
        <f t="shared" si="12"/>
        <v>14</v>
      </c>
      <c r="AQ5" s="5"/>
      <c r="AR5" s="5">
        <f t="shared" si="13"/>
        <v>6</v>
      </c>
      <c r="AS5" s="5">
        <f t="shared" si="14"/>
        <v>5</v>
      </c>
      <c r="AT5" s="5"/>
      <c r="AU5" s="5">
        <f t="shared" si="15"/>
        <v>5</v>
      </c>
      <c r="AV5" s="5">
        <f t="shared" si="16"/>
        <v>8</v>
      </c>
    </row>
    <row r="6" spans="1:48" x14ac:dyDescent="0.25">
      <c r="A6" s="6" t="s">
        <v>48</v>
      </c>
      <c r="B6" s="7">
        <v>34</v>
      </c>
      <c r="C6" s="1">
        <v>6825</v>
      </c>
      <c r="D6" s="9">
        <v>0.443</v>
      </c>
      <c r="E6" s="9">
        <v>11.3</v>
      </c>
      <c r="F6" s="9"/>
      <c r="G6" s="9">
        <v>0.77</v>
      </c>
      <c r="H6" s="9">
        <v>0.30399999999999999</v>
      </c>
      <c r="I6" s="9">
        <v>0.14599999999999999</v>
      </c>
      <c r="J6" s="9">
        <v>0.19400000000000001</v>
      </c>
      <c r="K6" s="9">
        <v>0.125</v>
      </c>
      <c r="L6" s="9">
        <v>0.23</v>
      </c>
      <c r="M6" s="9"/>
      <c r="N6" s="9">
        <v>0.47399999999999998</v>
      </c>
      <c r="O6" s="9">
        <v>0.61299999999999999</v>
      </c>
      <c r="P6" s="9">
        <v>0.34599999999999997</v>
      </c>
      <c r="Q6" s="9">
        <v>0.39400000000000002</v>
      </c>
      <c r="R6" s="9">
        <v>0.40799999999999997</v>
      </c>
      <c r="S6" s="9">
        <v>0.34100000000000003</v>
      </c>
      <c r="T6" s="9"/>
      <c r="U6" s="9">
        <v>0.59499999999999997</v>
      </c>
      <c r="V6" s="9">
        <v>0.85599999999999998</v>
      </c>
      <c r="W6" s="9"/>
      <c r="X6" s="10">
        <v>0.14099999999999999</v>
      </c>
      <c r="Y6" s="10">
        <v>0.36099999999999999</v>
      </c>
      <c r="Z6" s="5"/>
      <c r="AA6" s="5"/>
      <c r="AB6" s="5">
        <f t="shared" si="0"/>
        <v>3</v>
      </c>
      <c r="AC6" s="5"/>
      <c r="AD6" s="5">
        <f t="shared" si="1"/>
        <v>7</v>
      </c>
      <c r="AE6" s="5">
        <f t="shared" si="2"/>
        <v>5</v>
      </c>
      <c r="AF6" s="5">
        <f t="shared" si="3"/>
        <v>9</v>
      </c>
      <c r="AG6" s="5">
        <f t="shared" si="4"/>
        <v>8</v>
      </c>
      <c r="AH6" s="5">
        <f t="shared" si="5"/>
        <v>2</v>
      </c>
      <c r="AI6" s="5">
        <f t="shared" si="6"/>
        <v>8</v>
      </c>
      <c r="AJ6" s="5"/>
      <c r="AK6" s="5">
        <f t="shared" si="7"/>
        <v>4</v>
      </c>
      <c r="AL6" s="5">
        <f t="shared" si="8"/>
        <v>6</v>
      </c>
      <c r="AM6" s="5">
        <f t="shared" si="9"/>
        <v>11</v>
      </c>
      <c r="AN6" s="5">
        <f t="shared" si="10"/>
        <v>4</v>
      </c>
      <c r="AO6" s="5">
        <f t="shared" si="11"/>
        <v>6</v>
      </c>
      <c r="AP6" s="5">
        <f t="shared" si="12"/>
        <v>5</v>
      </c>
      <c r="AQ6" s="5"/>
      <c r="AR6" s="5">
        <f t="shared" si="13"/>
        <v>2</v>
      </c>
      <c r="AS6" s="5">
        <f t="shared" si="14"/>
        <v>6</v>
      </c>
      <c r="AT6" s="5"/>
      <c r="AU6" s="5">
        <f t="shared" si="15"/>
        <v>2</v>
      </c>
      <c r="AV6" s="5">
        <f t="shared" si="16"/>
        <v>5</v>
      </c>
    </row>
    <row r="7" spans="1:48" x14ac:dyDescent="0.25">
      <c r="A7" s="6" t="s">
        <v>49</v>
      </c>
      <c r="B7" s="7">
        <v>34</v>
      </c>
      <c r="C7" s="1">
        <v>6825</v>
      </c>
      <c r="D7" s="9">
        <v>0.41399999999999998</v>
      </c>
      <c r="E7" s="9">
        <v>10.4</v>
      </c>
      <c r="F7" s="9"/>
      <c r="G7" s="9">
        <v>0.81399999999999995</v>
      </c>
      <c r="H7" s="9">
        <v>0.33200000000000002</v>
      </c>
      <c r="I7" s="9">
        <v>0.14299999999999999</v>
      </c>
      <c r="J7" s="9">
        <v>0.23</v>
      </c>
      <c r="K7" s="9">
        <v>0.109</v>
      </c>
      <c r="L7" s="9">
        <v>0.186</v>
      </c>
      <c r="M7" s="9"/>
      <c r="N7" s="9">
        <v>0.434</v>
      </c>
      <c r="O7" s="9">
        <v>0.57699999999999996</v>
      </c>
      <c r="P7" s="9">
        <v>0.29299999999999998</v>
      </c>
      <c r="Q7" s="9">
        <v>0.34200000000000003</v>
      </c>
      <c r="R7" s="9">
        <v>0.372</v>
      </c>
      <c r="S7" s="9">
        <v>0.32900000000000001</v>
      </c>
      <c r="T7" s="9"/>
      <c r="U7" s="9">
        <v>0.58599999999999997</v>
      </c>
      <c r="V7" s="9">
        <v>0.83099999999999996</v>
      </c>
      <c r="W7" s="9"/>
      <c r="X7" s="10">
        <v>0.13300000000000001</v>
      </c>
      <c r="Y7" s="10">
        <v>0.38200000000000001</v>
      </c>
      <c r="Z7" s="5"/>
      <c r="AA7" s="5"/>
      <c r="AB7" s="5">
        <f t="shared" si="0"/>
        <v>9</v>
      </c>
      <c r="AC7" s="5"/>
      <c r="AD7" s="5">
        <f t="shared" si="1"/>
        <v>2</v>
      </c>
      <c r="AE7" s="5">
        <f t="shared" si="2"/>
        <v>3</v>
      </c>
      <c r="AF7" s="5">
        <f t="shared" si="3"/>
        <v>10</v>
      </c>
      <c r="AG7" s="5">
        <f t="shared" si="4"/>
        <v>2</v>
      </c>
      <c r="AH7" s="5">
        <f t="shared" si="5"/>
        <v>5</v>
      </c>
      <c r="AI7" s="5">
        <f t="shared" si="6"/>
        <v>13</v>
      </c>
      <c r="AJ7" s="5"/>
      <c r="AK7" s="5">
        <f t="shared" si="7"/>
        <v>10</v>
      </c>
      <c r="AL7" s="5">
        <f t="shared" si="8"/>
        <v>9</v>
      </c>
      <c r="AM7" s="5">
        <f t="shared" si="9"/>
        <v>14</v>
      </c>
      <c r="AN7" s="5">
        <f t="shared" si="10"/>
        <v>9</v>
      </c>
      <c r="AO7" s="5">
        <f t="shared" si="11"/>
        <v>10</v>
      </c>
      <c r="AP7" s="5">
        <f t="shared" si="12"/>
        <v>10</v>
      </c>
      <c r="AQ7" s="5"/>
      <c r="AR7" s="5">
        <f t="shared" si="13"/>
        <v>3</v>
      </c>
      <c r="AS7" s="5">
        <f t="shared" si="14"/>
        <v>8</v>
      </c>
      <c r="AT7" s="5"/>
      <c r="AU7" s="5">
        <f t="shared" si="15"/>
        <v>3</v>
      </c>
      <c r="AV7" s="5">
        <f t="shared" si="16"/>
        <v>3</v>
      </c>
    </row>
    <row r="8" spans="1:48" x14ac:dyDescent="0.25">
      <c r="A8" s="6" t="s">
        <v>55</v>
      </c>
      <c r="B8" s="7">
        <v>34</v>
      </c>
      <c r="C8" s="1">
        <v>6925</v>
      </c>
      <c r="D8" s="9">
        <v>0.442</v>
      </c>
      <c r="E8" s="9">
        <v>11.1</v>
      </c>
      <c r="F8" s="9"/>
      <c r="G8" s="9">
        <v>0.77500000000000002</v>
      </c>
      <c r="H8" s="9">
        <v>0.29099999999999998</v>
      </c>
      <c r="I8" s="9">
        <v>0.153</v>
      </c>
      <c r="J8" s="9">
        <v>0.23599999999999999</v>
      </c>
      <c r="K8" s="9">
        <v>9.5000000000000001E-2</v>
      </c>
      <c r="L8" s="9">
        <v>0.22500000000000001</v>
      </c>
      <c r="M8" s="9"/>
      <c r="N8" s="9">
        <v>0.46700000000000003</v>
      </c>
      <c r="O8" s="9">
        <v>0.61599999999999999</v>
      </c>
      <c r="P8" s="9">
        <v>0.41099999999999998</v>
      </c>
      <c r="Q8" s="9">
        <v>0.33900000000000002</v>
      </c>
      <c r="R8" s="9">
        <v>0.41499999999999998</v>
      </c>
      <c r="S8" s="9">
        <v>0.35799999999999998</v>
      </c>
      <c r="T8" s="9"/>
      <c r="U8" s="9">
        <v>0.50900000000000001</v>
      </c>
      <c r="V8" s="9">
        <v>0.86399999999999999</v>
      </c>
      <c r="W8" s="9"/>
      <c r="X8" s="10">
        <v>0.1</v>
      </c>
      <c r="Y8" s="10">
        <v>0.40400000000000003</v>
      </c>
      <c r="Z8" s="5"/>
      <c r="AA8" s="5"/>
      <c r="AB8" s="5">
        <f t="shared" si="0"/>
        <v>5</v>
      </c>
      <c r="AC8" s="5"/>
      <c r="AD8" s="5">
        <f t="shared" si="1"/>
        <v>6</v>
      </c>
      <c r="AE8" s="5">
        <f t="shared" si="2"/>
        <v>8</v>
      </c>
      <c r="AF8" s="5">
        <f t="shared" si="3"/>
        <v>8</v>
      </c>
      <c r="AG8" s="5">
        <f t="shared" si="4"/>
        <v>1</v>
      </c>
      <c r="AH8" s="5">
        <f t="shared" si="5"/>
        <v>12</v>
      </c>
      <c r="AI8" s="5">
        <f t="shared" si="6"/>
        <v>9</v>
      </c>
      <c r="AJ8" s="5"/>
      <c r="AK8" s="5">
        <f t="shared" si="7"/>
        <v>6</v>
      </c>
      <c r="AL8" s="5">
        <f t="shared" si="8"/>
        <v>4</v>
      </c>
      <c r="AM8" s="5">
        <f t="shared" si="9"/>
        <v>2</v>
      </c>
      <c r="AN8" s="5">
        <f t="shared" si="10"/>
        <v>10</v>
      </c>
      <c r="AO8" s="5">
        <f t="shared" si="11"/>
        <v>4</v>
      </c>
      <c r="AP8" s="5">
        <f t="shared" si="12"/>
        <v>2</v>
      </c>
      <c r="AQ8" s="5"/>
      <c r="AR8" s="5">
        <f t="shared" si="13"/>
        <v>8</v>
      </c>
      <c r="AS8" s="5">
        <f t="shared" si="14"/>
        <v>4</v>
      </c>
      <c r="AT8" s="5"/>
      <c r="AU8" s="5">
        <f t="shared" si="15"/>
        <v>6</v>
      </c>
      <c r="AV8" s="5">
        <f t="shared" si="16"/>
        <v>2</v>
      </c>
    </row>
    <row r="9" spans="1:48" x14ac:dyDescent="0.25">
      <c r="A9" s="6" t="s">
        <v>51</v>
      </c>
      <c r="B9" s="7">
        <v>34</v>
      </c>
      <c r="C9" s="1">
        <v>6850</v>
      </c>
      <c r="D9" s="9">
        <v>0.40699999999999997</v>
      </c>
      <c r="E9" s="9">
        <v>11.6</v>
      </c>
      <c r="F9" s="9"/>
      <c r="G9" s="9">
        <v>0.74299999999999999</v>
      </c>
      <c r="H9" s="9">
        <v>0.26400000000000001</v>
      </c>
      <c r="I9" s="9">
        <v>0.191</v>
      </c>
      <c r="J9" s="9">
        <v>0.16400000000000001</v>
      </c>
      <c r="K9" s="9">
        <v>0.124</v>
      </c>
      <c r="L9" s="9">
        <v>0.25700000000000001</v>
      </c>
      <c r="M9" s="9"/>
      <c r="N9" s="9">
        <v>0.441</v>
      </c>
      <c r="O9" s="9">
        <v>0.58699999999999997</v>
      </c>
      <c r="P9" s="9">
        <v>0.35899999999999999</v>
      </c>
      <c r="Q9" s="9">
        <v>0.315</v>
      </c>
      <c r="R9" s="9">
        <v>0.41899999999999998</v>
      </c>
      <c r="S9" s="9">
        <v>0.31</v>
      </c>
      <c r="T9" s="9"/>
      <c r="U9" s="9">
        <v>0.499</v>
      </c>
      <c r="V9" s="9">
        <v>0.88300000000000001</v>
      </c>
      <c r="W9" s="9"/>
      <c r="X9" s="10">
        <v>0.158</v>
      </c>
      <c r="Y9" s="10">
        <v>0.32200000000000001</v>
      </c>
      <c r="Z9" s="5"/>
      <c r="AA9" s="5"/>
      <c r="AB9" s="5">
        <f t="shared" si="0"/>
        <v>10</v>
      </c>
      <c r="AC9" s="5"/>
      <c r="AD9" s="5">
        <f t="shared" si="1"/>
        <v>12</v>
      </c>
      <c r="AE9" s="5">
        <f t="shared" si="2"/>
        <v>11</v>
      </c>
      <c r="AF9" s="5">
        <f t="shared" si="3"/>
        <v>4</v>
      </c>
      <c r="AG9" s="5">
        <f t="shared" si="4"/>
        <v>13</v>
      </c>
      <c r="AH9" s="5">
        <f t="shared" si="5"/>
        <v>3</v>
      </c>
      <c r="AI9" s="5">
        <f t="shared" si="6"/>
        <v>3</v>
      </c>
      <c r="AJ9" s="5"/>
      <c r="AK9" s="5">
        <f t="shared" si="7"/>
        <v>8</v>
      </c>
      <c r="AL9" s="5">
        <f t="shared" si="8"/>
        <v>8</v>
      </c>
      <c r="AM9" s="5">
        <f t="shared" si="9"/>
        <v>8</v>
      </c>
      <c r="AN9" s="5">
        <f t="shared" si="10"/>
        <v>14</v>
      </c>
      <c r="AO9" s="5">
        <f t="shared" si="11"/>
        <v>3</v>
      </c>
      <c r="AP9" s="5">
        <f t="shared" si="12"/>
        <v>12</v>
      </c>
      <c r="AQ9" s="5"/>
      <c r="AR9" s="5">
        <f t="shared" si="13"/>
        <v>11</v>
      </c>
      <c r="AS9" s="5">
        <f t="shared" si="14"/>
        <v>1</v>
      </c>
      <c r="AT9" s="5"/>
      <c r="AU9" s="5">
        <f t="shared" si="15"/>
        <v>1</v>
      </c>
      <c r="AV9" s="5">
        <f t="shared" si="16"/>
        <v>6</v>
      </c>
    </row>
    <row r="10" spans="1:48" x14ac:dyDescent="0.25">
      <c r="A10" s="6" t="s">
        <v>52</v>
      </c>
      <c r="B10" s="7">
        <v>34</v>
      </c>
      <c r="C10" s="1">
        <v>6825</v>
      </c>
      <c r="D10" s="9">
        <v>0.438</v>
      </c>
      <c r="E10" s="9">
        <v>10.8</v>
      </c>
      <c r="F10" s="9"/>
      <c r="G10" s="9">
        <v>0.82799999999999996</v>
      </c>
      <c r="H10" s="9">
        <v>0.307</v>
      </c>
      <c r="I10" s="9">
        <v>0.13300000000000001</v>
      </c>
      <c r="J10" s="9">
        <v>0.22600000000000001</v>
      </c>
      <c r="K10" s="9">
        <v>0.161</v>
      </c>
      <c r="L10" s="9">
        <v>0.17199999999999999</v>
      </c>
      <c r="M10" s="9"/>
      <c r="N10" s="9">
        <v>0.46800000000000003</v>
      </c>
      <c r="O10" s="9">
        <v>0.61599999999999999</v>
      </c>
      <c r="P10" s="9">
        <v>0.38200000000000001</v>
      </c>
      <c r="Q10" s="9">
        <v>0.376</v>
      </c>
      <c r="R10" s="9">
        <v>0.38700000000000001</v>
      </c>
      <c r="S10" s="9">
        <v>0.29399999999999998</v>
      </c>
      <c r="T10" s="9"/>
      <c r="U10" s="9">
        <v>0.60399999999999998</v>
      </c>
      <c r="V10" s="9">
        <v>0.86499999999999999</v>
      </c>
      <c r="W10" s="9"/>
      <c r="X10" s="10">
        <v>9.8000000000000004E-2</v>
      </c>
      <c r="Y10" s="10">
        <v>0.27</v>
      </c>
      <c r="Z10" s="5"/>
      <c r="AA10" s="5"/>
      <c r="AB10" s="5">
        <f t="shared" si="0"/>
        <v>6</v>
      </c>
      <c r="AC10" s="5"/>
      <c r="AD10" s="5">
        <f t="shared" si="1"/>
        <v>1</v>
      </c>
      <c r="AE10" s="5">
        <f t="shared" si="2"/>
        <v>4</v>
      </c>
      <c r="AF10" s="5">
        <f t="shared" si="3"/>
        <v>12</v>
      </c>
      <c r="AG10" s="5">
        <f t="shared" si="4"/>
        <v>3</v>
      </c>
      <c r="AH10" s="5">
        <f t="shared" si="5"/>
        <v>1</v>
      </c>
      <c r="AI10" s="5">
        <f t="shared" si="6"/>
        <v>14</v>
      </c>
      <c r="AJ10" s="5"/>
      <c r="AK10" s="5">
        <f t="shared" si="7"/>
        <v>5</v>
      </c>
      <c r="AL10" s="5">
        <f t="shared" si="8"/>
        <v>4</v>
      </c>
      <c r="AM10" s="5">
        <f t="shared" si="9"/>
        <v>6</v>
      </c>
      <c r="AN10" s="5">
        <f t="shared" si="10"/>
        <v>6</v>
      </c>
      <c r="AO10" s="5">
        <f t="shared" si="11"/>
        <v>7</v>
      </c>
      <c r="AP10" s="5">
        <f t="shared" si="12"/>
        <v>13</v>
      </c>
      <c r="AQ10" s="5"/>
      <c r="AR10" s="5">
        <f t="shared" si="13"/>
        <v>1</v>
      </c>
      <c r="AS10" s="5">
        <f t="shared" si="14"/>
        <v>3</v>
      </c>
      <c r="AT10" s="5"/>
      <c r="AU10" s="5">
        <f t="shared" si="15"/>
        <v>8</v>
      </c>
      <c r="AV10" s="5">
        <f t="shared" si="16"/>
        <v>11</v>
      </c>
    </row>
    <row r="11" spans="1:48" x14ac:dyDescent="0.25">
      <c r="A11" s="6" t="s">
        <v>45</v>
      </c>
      <c r="B11" s="7">
        <v>34</v>
      </c>
      <c r="C11" s="1">
        <v>6825</v>
      </c>
      <c r="D11" s="9">
        <v>0.42699999999999999</v>
      </c>
      <c r="E11" s="9">
        <v>10.4</v>
      </c>
      <c r="F11" s="9"/>
      <c r="G11" s="9">
        <v>0.81</v>
      </c>
      <c r="H11" s="9">
        <v>0.27600000000000002</v>
      </c>
      <c r="I11" s="9">
        <v>0.22600000000000001</v>
      </c>
      <c r="J11" s="9">
        <v>0.222</v>
      </c>
      <c r="K11" s="9">
        <v>8.6999999999999994E-2</v>
      </c>
      <c r="L11" s="9">
        <v>0.19</v>
      </c>
      <c r="M11" s="9"/>
      <c r="N11" s="9">
        <v>0.44500000000000001</v>
      </c>
      <c r="O11" s="9">
        <v>0.54300000000000004</v>
      </c>
      <c r="P11" s="9">
        <v>0.38300000000000001</v>
      </c>
      <c r="Q11" s="9">
        <v>0.39200000000000002</v>
      </c>
      <c r="R11" s="9">
        <v>0.42699999999999999</v>
      </c>
      <c r="S11" s="9">
        <v>0.35299999999999998</v>
      </c>
      <c r="T11" s="9"/>
      <c r="U11" s="9">
        <v>0.46899999999999997</v>
      </c>
      <c r="V11" s="9">
        <v>0.79100000000000004</v>
      </c>
      <c r="W11" s="9"/>
      <c r="X11" s="10">
        <v>9.5000000000000001E-2</v>
      </c>
      <c r="Y11" s="10">
        <v>0.25</v>
      </c>
      <c r="Z11" s="5"/>
      <c r="AA11" s="5"/>
      <c r="AB11" s="5">
        <f t="shared" si="0"/>
        <v>7</v>
      </c>
      <c r="AC11" s="5"/>
      <c r="AD11" s="5">
        <f t="shared" si="1"/>
        <v>3</v>
      </c>
      <c r="AE11" s="5">
        <f t="shared" si="2"/>
        <v>9</v>
      </c>
      <c r="AF11" s="5">
        <f t="shared" si="3"/>
        <v>1</v>
      </c>
      <c r="AG11" s="5">
        <f t="shared" si="4"/>
        <v>4</v>
      </c>
      <c r="AH11" s="5">
        <f t="shared" si="5"/>
        <v>13</v>
      </c>
      <c r="AI11" s="5">
        <f t="shared" si="6"/>
        <v>12</v>
      </c>
      <c r="AJ11" s="5"/>
      <c r="AK11" s="5">
        <f t="shared" si="7"/>
        <v>7</v>
      </c>
      <c r="AL11" s="5">
        <f t="shared" si="8"/>
        <v>11</v>
      </c>
      <c r="AM11" s="5">
        <f t="shared" si="9"/>
        <v>5</v>
      </c>
      <c r="AN11" s="5">
        <f t="shared" si="10"/>
        <v>5</v>
      </c>
      <c r="AO11" s="5">
        <f t="shared" si="11"/>
        <v>2</v>
      </c>
      <c r="AP11" s="5">
        <f t="shared" si="12"/>
        <v>4</v>
      </c>
      <c r="AQ11" s="5"/>
      <c r="AR11" s="5">
        <f t="shared" si="13"/>
        <v>13</v>
      </c>
      <c r="AS11" s="5">
        <f t="shared" si="14"/>
        <v>11</v>
      </c>
      <c r="AT11" s="5"/>
      <c r="AU11" s="5">
        <f t="shared" si="15"/>
        <v>9</v>
      </c>
      <c r="AV11" s="5">
        <f t="shared" si="16"/>
        <v>12</v>
      </c>
    </row>
    <row r="12" spans="1:48" x14ac:dyDescent="0.25">
      <c r="A12" s="6" t="s">
        <v>46</v>
      </c>
      <c r="B12" s="7">
        <v>34</v>
      </c>
      <c r="C12" s="1">
        <v>6650</v>
      </c>
      <c r="D12" s="9">
        <v>0.39700000000000002</v>
      </c>
      <c r="E12" s="9">
        <v>12.3</v>
      </c>
      <c r="F12" s="9"/>
      <c r="G12" s="9">
        <v>0.68799999999999994</v>
      </c>
      <c r="H12" s="9">
        <v>0.26200000000000001</v>
      </c>
      <c r="I12" s="9">
        <v>0.125</v>
      </c>
      <c r="J12" s="9">
        <v>0.17899999999999999</v>
      </c>
      <c r="K12" s="9">
        <v>9.8000000000000004E-2</v>
      </c>
      <c r="L12" s="9">
        <v>0.312</v>
      </c>
      <c r="M12" s="9"/>
      <c r="N12" s="9">
        <v>0.42599999999999999</v>
      </c>
      <c r="O12" s="9">
        <v>0.51800000000000002</v>
      </c>
      <c r="P12" s="9">
        <v>0.38400000000000001</v>
      </c>
      <c r="Q12" s="9">
        <v>0.36199999999999999</v>
      </c>
      <c r="R12" s="9">
        <v>0.376</v>
      </c>
      <c r="S12" s="9">
        <v>0.33500000000000002</v>
      </c>
      <c r="T12" s="9"/>
      <c r="U12" s="9">
        <v>0.46700000000000003</v>
      </c>
      <c r="V12" s="9">
        <v>0.80600000000000005</v>
      </c>
      <c r="W12" s="9"/>
      <c r="X12" s="10">
        <v>8.1000000000000003E-2</v>
      </c>
      <c r="Y12" s="10">
        <v>0.23100000000000001</v>
      </c>
      <c r="Z12" s="5"/>
      <c r="AA12" s="5"/>
      <c r="AB12" s="5">
        <f t="shared" si="0"/>
        <v>12</v>
      </c>
      <c r="AC12" s="5"/>
      <c r="AD12" s="5">
        <f t="shared" si="1"/>
        <v>14</v>
      </c>
      <c r="AE12" s="5">
        <f t="shared" si="2"/>
        <v>12</v>
      </c>
      <c r="AF12" s="5">
        <f t="shared" si="3"/>
        <v>13</v>
      </c>
      <c r="AG12" s="5">
        <f t="shared" si="4"/>
        <v>9</v>
      </c>
      <c r="AH12" s="5">
        <f t="shared" si="5"/>
        <v>10</v>
      </c>
      <c r="AI12" s="5">
        <f t="shared" si="6"/>
        <v>1</v>
      </c>
      <c r="AJ12" s="5"/>
      <c r="AK12" s="5">
        <f t="shared" si="7"/>
        <v>13</v>
      </c>
      <c r="AL12" s="5">
        <f t="shared" si="8"/>
        <v>13</v>
      </c>
      <c r="AM12" s="5">
        <f t="shared" si="9"/>
        <v>4</v>
      </c>
      <c r="AN12" s="5">
        <f t="shared" si="10"/>
        <v>7</v>
      </c>
      <c r="AO12" s="5">
        <f t="shared" si="11"/>
        <v>9</v>
      </c>
      <c r="AP12" s="5">
        <f t="shared" si="12"/>
        <v>9</v>
      </c>
      <c r="AQ12" s="5"/>
      <c r="AR12" s="5">
        <f t="shared" si="13"/>
        <v>14</v>
      </c>
      <c r="AS12" s="5">
        <f t="shared" si="14"/>
        <v>10</v>
      </c>
      <c r="AT12" s="5"/>
      <c r="AU12" s="5">
        <f t="shared" si="15"/>
        <v>11</v>
      </c>
      <c r="AV12" s="5">
        <f t="shared" si="16"/>
        <v>13</v>
      </c>
    </row>
    <row r="13" spans="1:48" x14ac:dyDescent="0.25">
      <c r="A13" s="6" t="s">
        <v>42</v>
      </c>
      <c r="B13" s="7">
        <v>34</v>
      </c>
      <c r="C13" s="1">
        <v>6675</v>
      </c>
      <c r="D13" s="9">
        <v>0.443</v>
      </c>
      <c r="E13" s="9">
        <v>12.6</v>
      </c>
      <c r="F13" s="9"/>
      <c r="G13" s="9">
        <v>0.70299999999999996</v>
      </c>
      <c r="H13" s="9">
        <v>0.255</v>
      </c>
      <c r="I13" s="9">
        <v>0.106</v>
      </c>
      <c r="J13" s="9">
        <v>0.20200000000000001</v>
      </c>
      <c r="K13" s="9">
        <v>0.11799999999999999</v>
      </c>
      <c r="L13" s="9">
        <v>0.29699999999999999</v>
      </c>
      <c r="M13" s="9"/>
      <c r="N13" s="9">
        <v>0.47499999999999998</v>
      </c>
      <c r="O13" s="9">
        <v>0.59699999999999998</v>
      </c>
      <c r="P13" s="9">
        <v>0.42799999999999999</v>
      </c>
      <c r="Q13" s="9">
        <v>0.41099999999999998</v>
      </c>
      <c r="R13" s="9">
        <v>0.38500000000000001</v>
      </c>
      <c r="S13" s="9">
        <v>0.36699999999999999</v>
      </c>
      <c r="T13" s="9"/>
      <c r="U13" s="9">
        <v>0.51100000000000001</v>
      </c>
      <c r="V13" s="9">
        <v>0.76600000000000001</v>
      </c>
      <c r="W13" s="9"/>
      <c r="X13" s="10">
        <v>8.5999999999999993E-2</v>
      </c>
      <c r="Y13" s="10">
        <v>0.371</v>
      </c>
      <c r="Z13" s="5"/>
      <c r="AA13" s="5"/>
      <c r="AB13" s="5">
        <f t="shared" si="0"/>
        <v>3</v>
      </c>
      <c r="AC13" s="5"/>
      <c r="AD13" s="5">
        <f t="shared" si="1"/>
        <v>13</v>
      </c>
      <c r="AE13" s="5">
        <f t="shared" si="2"/>
        <v>13</v>
      </c>
      <c r="AF13" s="5">
        <f t="shared" si="3"/>
        <v>14</v>
      </c>
      <c r="AG13" s="5">
        <f t="shared" si="4"/>
        <v>7</v>
      </c>
      <c r="AH13" s="5">
        <f t="shared" si="5"/>
        <v>4</v>
      </c>
      <c r="AI13" s="5">
        <f t="shared" si="6"/>
        <v>2</v>
      </c>
      <c r="AJ13" s="5"/>
      <c r="AK13" s="5">
        <f t="shared" si="7"/>
        <v>3</v>
      </c>
      <c r="AL13" s="5">
        <f t="shared" si="8"/>
        <v>7</v>
      </c>
      <c r="AM13" s="5">
        <f t="shared" si="9"/>
        <v>1</v>
      </c>
      <c r="AN13" s="5">
        <f t="shared" si="10"/>
        <v>2</v>
      </c>
      <c r="AO13" s="5">
        <f t="shared" si="11"/>
        <v>8</v>
      </c>
      <c r="AP13" s="5">
        <f t="shared" si="12"/>
        <v>1</v>
      </c>
      <c r="AQ13" s="5"/>
      <c r="AR13" s="5">
        <f t="shared" si="13"/>
        <v>7</v>
      </c>
      <c r="AS13" s="5">
        <f t="shared" si="14"/>
        <v>13</v>
      </c>
      <c r="AT13" s="5"/>
      <c r="AU13" s="5">
        <f t="shared" si="15"/>
        <v>10</v>
      </c>
      <c r="AV13" s="5">
        <f t="shared" si="16"/>
        <v>4</v>
      </c>
    </row>
    <row r="14" spans="1:48" x14ac:dyDescent="0.25">
      <c r="A14" s="6" t="s">
        <v>50</v>
      </c>
      <c r="B14" s="7">
        <v>34</v>
      </c>
      <c r="C14" s="1">
        <v>6875</v>
      </c>
      <c r="D14" s="9">
        <v>0.42</v>
      </c>
      <c r="E14" s="9">
        <v>9.6</v>
      </c>
      <c r="F14" s="9"/>
      <c r="G14" s="9">
        <v>0.78900000000000003</v>
      </c>
      <c r="H14" s="9">
        <v>0.34399999999999997</v>
      </c>
      <c r="I14" s="9">
        <v>0.20499999999999999</v>
      </c>
      <c r="J14" s="9">
        <v>0.16900000000000001</v>
      </c>
      <c r="K14" s="9">
        <v>7.0999999999999994E-2</v>
      </c>
      <c r="L14" s="9">
        <v>0.21099999999999999</v>
      </c>
      <c r="M14" s="9"/>
      <c r="N14" s="9">
        <v>0.441</v>
      </c>
      <c r="O14" s="9">
        <v>0.57099999999999995</v>
      </c>
      <c r="P14" s="9">
        <v>0.35099999999999998</v>
      </c>
      <c r="Q14" s="9">
        <v>0.33200000000000002</v>
      </c>
      <c r="R14" s="9">
        <v>0.32700000000000001</v>
      </c>
      <c r="S14" s="9">
        <v>0.34100000000000003</v>
      </c>
      <c r="T14" s="9"/>
      <c r="U14" s="9">
        <v>0.49299999999999999</v>
      </c>
      <c r="V14" s="9">
        <v>0.84699999999999998</v>
      </c>
      <c r="W14" s="9"/>
      <c r="X14" s="10">
        <v>7.1999999999999995E-2</v>
      </c>
      <c r="Y14" s="10">
        <v>0.27300000000000002</v>
      </c>
      <c r="Z14" s="5"/>
      <c r="AA14" s="5"/>
      <c r="AB14" s="5">
        <f t="shared" si="0"/>
        <v>8</v>
      </c>
      <c r="AC14" s="5"/>
      <c r="AD14" s="5">
        <f t="shared" si="1"/>
        <v>4</v>
      </c>
      <c r="AE14" s="5">
        <f t="shared" si="2"/>
        <v>2</v>
      </c>
      <c r="AF14" s="5">
        <f t="shared" si="3"/>
        <v>2</v>
      </c>
      <c r="AG14" s="5">
        <f t="shared" si="4"/>
        <v>12</v>
      </c>
      <c r="AH14" s="5">
        <f t="shared" si="5"/>
        <v>14</v>
      </c>
      <c r="AI14" s="5">
        <f t="shared" si="6"/>
        <v>11</v>
      </c>
      <c r="AJ14" s="5"/>
      <c r="AK14" s="5">
        <f t="shared" si="7"/>
        <v>8</v>
      </c>
      <c r="AL14" s="5">
        <f t="shared" si="8"/>
        <v>10</v>
      </c>
      <c r="AM14" s="5">
        <f t="shared" si="9"/>
        <v>10</v>
      </c>
      <c r="AN14" s="5">
        <f t="shared" si="10"/>
        <v>12</v>
      </c>
      <c r="AO14" s="5">
        <f t="shared" si="11"/>
        <v>13</v>
      </c>
      <c r="AP14" s="5">
        <f t="shared" si="12"/>
        <v>5</v>
      </c>
      <c r="AQ14" s="5"/>
      <c r="AR14" s="5">
        <f t="shared" si="13"/>
        <v>12</v>
      </c>
      <c r="AS14" s="5">
        <f t="shared" si="14"/>
        <v>7</v>
      </c>
      <c r="AT14" s="5"/>
      <c r="AU14" s="5">
        <f t="shared" si="15"/>
        <v>13</v>
      </c>
      <c r="AV14" s="5">
        <f t="shared" si="16"/>
        <v>9</v>
      </c>
    </row>
    <row r="15" spans="1:48" x14ac:dyDescent="0.25">
      <c r="A15" s="6" t="s">
        <v>43</v>
      </c>
      <c r="B15" s="7">
        <v>34</v>
      </c>
      <c r="C15" s="1">
        <v>6800</v>
      </c>
      <c r="D15" s="9">
        <v>0.40600000000000003</v>
      </c>
      <c r="E15" s="9">
        <v>11.7</v>
      </c>
      <c r="F15" s="9"/>
      <c r="G15" s="9">
        <v>0.753</v>
      </c>
      <c r="H15" s="9">
        <v>0.23599999999999999</v>
      </c>
      <c r="I15" s="9">
        <v>0.2</v>
      </c>
      <c r="J15" s="9">
        <v>0.216</v>
      </c>
      <c r="K15" s="9">
        <v>0.10100000000000001</v>
      </c>
      <c r="L15" s="9">
        <v>0.247</v>
      </c>
      <c r="M15" s="9"/>
      <c r="N15" s="9">
        <v>0.42699999999999999</v>
      </c>
      <c r="O15" s="9">
        <v>0.623</v>
      </c>
      <c r="P15" s="9">
        <v>0.35299999999999998</v>
      </c>
      <c r="Q15" s="9">
        <v>0.32400000000000001</v>
      </c>
      <c r="R15" s="9">
        <v>0.33900000000000002</v>
      </c>
      <c r="S15" s="9">
        <v>0.34</v>
      </c>
      <c r="T15" s="9"/>
      <c r="U15" s="9">
        <v>0.54</v>
      </c>
      <c r="V15" s="9">
        <v>0.78300000000000003</v>
      </c>
      <c r="W15" s="9"/>
      <c r="X15" s="10">
        <v>7.9000000000000001E-2</v>
      </c>
      <c r="Y15" s="10">
        <v>0.27300000000000002</v>
      </c>
      <c r="Z15" s="5"/>
      <c r="AA15" s="5"/>
      <c r="AB15" s="5">
        <f t="shared" si="0"/>
        <v>11</v>
      </c>
      <c r="AC15" s="5"/>
      <c r="AD15" s="5">
        <f t="shared" si="1"/>
        <v>10</v>
      </c>
      <c r="AE15" s="5">
        <f t="shared" si="2"/>
        <v>14</v>
      </c>
      <c r="AF15" s="5">
        <f t="shared" si="3"/>
        <v>3</v>
      </c>
      <c r="AG15" s="5">
        <f t="shared" si="4"/>
        <v>5</v>
      </c>
      <c r="AH15" s="5">
        <f t="shared" si="5"/>
        <v>8</v>
      </c>
      <c r="AI15" s="5">
        <f t="shared" si="6"/>
        <v>5</v>
      </c>
      <c r="AJ15" s="5"/>
      <c r="AK15" s="5">
        <f t="shared" si="7"/>
        <v>12</v>
      </c>
      <c r="AL15" s="5">
        <f t="shared" si="8"/>
        <v>2</v>
      </c>
      <c r="AM15" s="5">
        <f t="shared" si="9"/>
        <v>9</v>
      </c>
      <c r="AN15" s="5">
        <f t="shared" si="10"/>
        <v>13</v>
      </c>
      <c r="AO15" s="5">
        <f t="shared" si="11"/>
        <v>12</v>
      </c>
      <c r="AP15" s="5">
        <f t="shared" si="12"/>
        <v>7</v>
      </c>
      <c r="AQ15" s="5"/>
      <c r="AR15" s="5">
        <f t="shared" si="13"/>
        <v>5</v>
      </c>
      <c r="AS15" s="5">
        <f t="shared" si="14"/>
        <v>12</v>
      </c>
      <c r="AT15" s="5"/>
      <c r="AU15" s="5">
        <f t="shared" si="15"/>
        <v>12</v>
      </c>
      <c r="AV15" s="5">
        <f t="shared" si="16"/>
        <v>9</v>
      </c>
    </row>
    <row r="16" spans="1:48" x14ac:dyDescent="0.25">
      <c r="A16" s="6" t="s">
        <v>54</v>
      </c>
      <c r="B16" s="7">
        <v>34</v>
      </c>
      <c r="C16" s="1">
        <v>6800</v>
      </c>
      <c r="D16" s="9">
        <v>0.45200000000000001</v>
      </c>
      <c r="E16" s="9">
        <v>11</v>
      </c>
      <c r="F16" s="9"/>
      <c r="G16" s="9">
        <v>0.77600000000000002</v>
      </c>
      <c r="H16" s="9">
        <v>0.27200000000000002</v>
      </c>
      <c r="I16" s="9">
        <v>0.189</v>
      </c>
      <c r="J16" s="9">
        <v>0.20899999999999999</v>
      </c>
      <c r="K16" s="9">
        <v>0.105</v>
      </c>
      <c r="L16" s="9">
        <v>0.224</v>
      </c>
      <c r="M16" s="9"/>
      <c r="N16" s="9">
        <v>0.48599999999999999</v>
      </c>
      <c r="O16" s="9">
        <v>0.66800000000000004</v>
      </c>
      <c r="P16" s="9">
        <v>0.33300000000000002</v>
      </c>
      <c r="Q16" s="9">
        <v>0.42299999999999999</v>
      </c>
      <c r="R16" s="9">
        <v>0.41299999999999998</v>
      </c>
      <c r="S16" s="9">
        <v>0.33700000000000002</v>
      </c>
      <c r="T16" s="9"/>
      <c r="U16" s="9">
        <v>0.5</v>
      </c>
      <c r="V16" s="9">
        <v>0.71299999999999997</v>
      </c>
      <c r="W16" s="9"/>
      <c r="X16" s="10">
        <v>0.13100000000000001</v>
      </c>
      <c r="Y16" s="10">
        <v>0.28999999999999998</v>
      </c>
      <c r="Z16" s="5"/>
      <c r="AA16" s="5"/>
      <c r="AB16" s="5">
        <f t="shared" si="0"/>
        <v>2</v>
      </c>
      <c r="AC16" s="5"/>
      <c r="AD16" s="5">
        <f t="shared" si="1"/>
        <v>5</v>
      </c>
      <c r="AE16" s="5">
        <f t="shared" si="2"/>
        <v>10</v>
      </c>
      <c r="AF16" s="5">
        <f t="shared" si="3"/>
        <v>5</v>
      </c>
      <c r="AG16" s="5">
        <f t="shared" si="4"/>
        <v>6</v>
      </c>
      <c r="AH16" s="5">
        <f t="shared" si="5"/>
        <v>7</v>
      </c>
      <c r="AI16" s="5">
        <f t="shared" si="6"/>
        <v>10</v>
      </c>
      <c r="AJ16" s="5"/>
      <c r="AK16" s="5">
        <f t="shared" si="7"/>
        <v>2</v>
      </c>
      <c r="AL16" s="5">
        <f t="shared" si="8"/>
        <v>1</v>
      </c>
      <c r="AM16" s="5">
        <f t="shared" si="9"/>
        <v>12</v>
      </c>
      <c r="AN16" s="5">
        <f t="shared" si="10"/>
        <v>1</v>
      </c>
      <c r="AO16" s="5">
        <f t="shared" si="11"/>
        <v>5</v>
      </c>
      <c r="AP16" s="5">
        <f t="shared" si="12"/>
        <v>8</v>
      </c>
      <c r="AQ16" s="5"/>
      <c r="AR16" s="5">
        <f t="shared" si="13"/>
        <v>10</v>
      </c>
      <c r="AS16" s="5">
        <f t="shared" si="14"/>
        <v>14</v>
      </c>
      <c r="AT16" s="5"/>
      <c r="AU16" s="5">
        <f t="shared" si="15"/>
        <v>4</v>
      </c>
      <c r="AV16" s="5">
        <f t="shared" si="16"/>
        <v>7</v>
      </c>
    </row>
    <row r="17" spans="1:48" x14ac:dyDescent="0.25">
      <c r="A17" s="6" t="s">
        <v>53</v>
      </c>
      <c r="B17" s="7">
        <v>34</v>
      </c>
      <c r="C17" s="1">
        <v>6850</v>
      </c>
      <c r="D17" s="9">
        <v>0.46200000000000002</v>
      </c>
      <c r="E17" s="9">
        <v>10.8</v>
      </c>
      <c r="F17" s="9"/>
      <c r="G17" s="9">
        <v>0.76300000000000001</v>
      </c>
      <c r="H17" s="9">
        <v>0.30399999999999999</v>
      </c>
      <c r="I17" s="9">
        <v>0.182</v>
      </c>
      <c r="J17" s="9">
        <v>0.17899999999999999</v>
      </c>
      <c r="K17" s="9">
        <v>9.8000000000000004E-2</v>
      </c>
      <c r="L17" s="9">
        <v>0.23699999999999999</v>
      </c>
      <c r="M17" s="9"/>
      <c r="N17" s="9">
        <v>0.49399999999999999</v>
      </c>
      <c r="O17" s="9">
        <v>0.62</v>
      </c>
      <c r="P17" s="9">
        <v>0.378</v>
      </c>
      <c r="Q17" s="9">
        <v>0.40699999999999997</v>
      </c>
      <c r="R17" s="9">
        <v>0.48099999999999998</v>
      </c>
      <c r="S17" s="9">
        <v>0.35799999999999998</v>
      </c>
      <c r="T17" s="9"/>
      <c r="U17" s="9">
        <v>0.50900000000000001</v>
      </c>
      <c r="V17" s="9">
        <v>0.82399999999999995</v>
      </c>
      <c r="W17" s="9"/>
      <c r="X17" s="10">
        <v>0.1</v>
      </c>
      <c r="Y17" s="10">
        <v>0.42299999999999999</v>
      </c>
      <c r="Z17" s="5"/>
      <c r="AA17" s="5"/>
      <c r="AB17" s="5">
        <f t="shared" si="0"/>
        <v>1</v>
      </c>
      <c r="AC17" s="5"/>
      <c r="AD17" s="5">
        <f t="shared" si="1"/>
        <v>8</v>
      </c>
      <c r="AE17" s="5">
        <f t="shared" si="2"/>
        <v>5</v>
      </c>
      <c r="AF17" s="5">
        <f t="shared" si="3"/>
        <v>6</v>
      </c>
      <c r="AG17" s="5">
        <f t="shared" si="4"/>
        <v>9</v>
      </c>
      <c r="AH17" s="5">
        <f t="shared" si="5"/>
        <v>10</v>
      </c>
      <c r="AI17" s="5">
        <f t="shared" si="6"/>
        <v>7</v>
      </c>
      <c r="AJ17" s="5"/>
      <c r="AK17" s="5">
        <f t="shared" si="7"/>
        <v>1</v>
      </c>
      <c r="AL17" s="5">
        <f t="shared" si="8"/>
        <v>3</v>
      </c>
      <c r="AM17" s="5">
        <f t="shared" si="9"/>
        <v>7</v>
      </c>
      <c r="AN17" s="5">
        <f t="shared" si="10"/>
        <v>3</v>
      </c>
      <c r="AO17" s="5">
        <f t="shared" si="11"/>
        <v>1</v>
      </c>
      <c r="AP17" s="5">
        <f t="shared" si="12"/>
        <v>2</v>
      </c>
      <c r="AQ17" s="5"/>
      <c r="AR17" s="5">
        <f t="shared" si="13"/>
        <v>8</v>
      </c>
      <c r="AS17" s="5">
        <f t="shared" si="14"/>
        <v>9</v>
      </c>
      <c r="AT17" s="5"/>
      <c r="AU17" s="5">
        <f t="shared" si="15"/>
        <v>6</v>
      </c>
      <c r="AV17" s="5">
        <f t="shared" si="16"/>
        <v>1</v>
      </c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6810.7142857142853</v>
      </c>
      <c r="D24" s="9">
        <f t="shared" si="17"/>
        <v>0.42442857142857138</v>
      </c>
      <c r="E24" s="9">
        <f t="shared" si="17"/>
        <v>11.085714285714285</v>
      </c>
      <c r="F24" s="9"/>
      <c r="G24" s="9">
        <f t="shared" si="17"/>
        <v>0.76542857142857135</v>
      </c>
      <c r="H24" s="9">
        <f t="shared" si="17"/>
        <v>0.29264285714285715</v>
      </c>
      <c r="I24" s="9">
        <f t="shared" si="17"/>
        <v>0.16471428571428573</v>
      </c>
      <c r="J24" s="9">
        <f t="shared" si="17"/>
        <v>0.19742857142857143</v>
      </c>
      <c r="K24" s="9">
        <f t="shared" si="17"/>
        <v>0.10721428571428571</v>
      </c>
      <c r="L24" s="9">
        <f t="shared" si="17"/>
        <v>0.2345714285714286</v>
      </c>
      <c r="M24" s="9"/>
      <c r="N24" s="9">
        <f t="shared" si="17"/>
        <v>0.45192857142857129</v>
      </c>
      <c r="O24" s="9">
        <f t="shared" si="17"/>
        <v>0.58599999999999997</v>
      </c>
      <c r="P24" s="9">
        <f t="shared" si="17"/>
        <v>0.36678571428571427</v>
      </c>
      <c r="Q24" s="9">
        <f t="shared" si="17"/>
        <v>0.36449999999999999</v>
      </c>
      <c r="R24" s="9">
        <f t="shared" si="17"/>
        <v>0.38471428571428573</v>
      </c>
      <c r="S24" s="9">
        <f t="shared" si="17"/>
        <v>0.33428571428571424</v>
      </c>
      <c r="T24" s="9"/>
      <c r="U24" s="9">
        <f t="shared" si="17"/>
        <v>0.52557142857142858</v>
      </c>
      <c r="V24" s="9">
        <f t="shared" si="17"/>
        <v>0.82599999999999985</v>
      </c>
      <c r="W24" s="9"/>
      <c r="X24" s="9">
        <f t="shared" si="17"/>
        <v>0.10371428571428572</v>
      </c>
      <c r="Y24" s="9">
        <f t="shared" si="17"/>
        <v>0.30714285714285711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U2:V2"/>
    <mergeCell ref="X2:Y2"/>
    <mergeCell ref="A1:Y1"/>
    <mergeCell ref="AB1:AV1"/>
    <mergeCell ref="G2:L2"/>
    <mergeCell ref="AD2:AI2"/>
    <mergeCell ref="AK2:AP2"/>
    <mergeCell ref="AR2:AS2"/>
    <mergeCell ref="N2:S2"/>
  </mergeCells>
  <pageMargins left="0.7" right="0.7" top="0.75" bottom="0.75" header="0" footer="0"/>
  <pageSetup orientation="landscape" r:id="rId1"/>
  <ignoredErrors>
    <ignoredError sqref="J3 Q3 AG3 AN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6790-A119-444B-BBB7-644848544E0F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2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44</v>
      </c>
      <c r="B4" s="7">
        <v>34</v>
      </c>
      <c r="C4" s="1">
        <v>6825</v>
      </c>
      <c r="D4" s="9">
        <v>0.42399999999999999</v>
      </c>
      <c r="E4" s="9">
        <v>10</v>
      </c>
      <c r="F4" s="9"/>
      <c r="G4" s="9">
        <v>0.78400000000000003</v>
      </c>
      <c r="H4" s="9">
        <v>0.34699999999999998</v>
      </c>
      <c r="I4" s="9">
        <v>0.14699999999999999</v>
      </c>
      <c r="J4" s="9">
        <v>0.185</v>
      </c>
      <c r="K4" s="9">
        <v>0.105</v>
      </c>
      <c r="L4" s="9">
        <v>0.216</v>
      </c>
      <c r="M4" s="9"/>
      <c r="N4" s="9">
        <v>0.44900000000000001</v>
      </c>
      <c r="O4" s="9">
        <v>0.57899999999999996</v>
      </c>
      <c r="P4" s="9">
        <v>0.34899999999999998</v>
      </c>
      <c r="Q4" s="9">
        <v>0.33500000000000002</v>
      </c>
      <c r="R4" s="9">
        <v>0.35799999999999998</v>
      </c>
      <c r="S4" s="9">
        <v>0.33300000000000002</v>
      </c>
      <c r="T4" s="9"/>
      <c r="U4" s="9">
        <v>0.51600000000000001</v>
      </c>
      <c r="V4" s="9">
        <v>0.85199999999999998</v>
      </c>
      <c r="W4" s="9"/>
      <c r="X4" s="10">
        <v>9.9000000000000005E-2</v>
      </c>
      <c r="Y4" s="10">
        <v>0.26100000000000001</v>
      </c>
      <c r="Z4" s="5"/>
      <c r="AA4" s="5"/>
      <c r="AB4" s="5">
        <f t="shared" ref="AB4:AB18" si="0">RANK(D4,D$4:D$18,1)</f>
        <v>5</v>
      </c>
      <c r="AC4" s="5"/>
      <c r="AD4" s="5">
        <f t="shared" ref="AD4:AD18" si="1">RANK(G4,G$4:G$18,1)</f>
        <v>11</v>
      </c>
      <c r="AE4" s="5">
        <f t="shared" ref="AE4:AE18" si="2">RANK(H4,H$4:H$18,1)</f>
        <v>13</v>
      </c>
      <c r="AF4" s="5">
        <f t="shared" ref="AF4:AF18" si="3">RANK(I4,I$4:I$18,1)</f>
        <v>7</v>
      </c>
      <c r="AG4" s="5">
        <f t="shared" ref="AG4:AG18" si="4">RANK(J4,J$4:J$18,1)</f>
        <v>3</v>
      </c>
      <c r="AH4" s="5">
        <f t="shared" ref="AH4:AH18" si="5">RANK(K4,K$4:K$18,1)</f>
        <v>6</v>
      </c>
      <c r="AI4" s="5">
        <f t="shared" ref="AI4:AI18" si="6">RANK(L4,L$4:L$18,1)</f>
        <v>3</v>
      </c>
      <c r="AJ4" s="5"/>
      <c r="AK4" s="5">
        <f t="shared" ref="AK4:AK18" si="7">RANK(N4,N$4:N$18,1)</f>
        <v>5</v>
      </c>
      <c r="AL4" s="5">
        <f t="shared" ref="AL4:AL18" si="8">RANK(O4,O$4:O$18,1)</f>
        <v>6</v>
      </c>
      <c r="AM4" s="5">
        <f t="shared" ref="AM4:AM18" si="9">RANK(P4,P$4:P$18,1)</f>
        <v>5</v>
      </c>
      <c r="AN4" s="5">
        <f t="shared" ref="AN4:AN18" si="10">RANK(Q4,Q$4:Q$18,1)</f>
        <v>2</v>
      </c>
      <c r="AO4" s="5">
        <f t="shared" ref="AO4:AO18" si="11">RANK(R4,R$4:R$18,1)</f>
        <v>3</v>
      </c>
      <c r="AP4" s="5">
        <f t="shared" ref="AP4:AP18" si="12">RANK(S4,S$4:S$18,1)</f>
        <v>8</v>
      </c>
      <c r="AQ4" s="5"/>
      <c r="AR4" s="5">
        <f t="shared" ref="AR4:AR18" si="13">RANK(U4,U$4:U$18,1)</f>
        <v>5</v>
      </c>
      <c r="AS4" s="5">
        <f t="shared" ref="AS4:AS18" si="14">RANK(V4,V$4:V$18,1)</f>
        <v>9</v>
      </c>
      <c r="AT4" s="5"/>
      <c r="AU4" s="5">
        <f>RANK(X4,X$4:X$18,1)</f>
        <v>6</v>
      </c>
      <c r="AV4" s="5">
        <f>RANK(Y4,Y$4:Y$18,1)</f>
        <v>2</v>
      </c>
    </row>
    <row r="5" spans="1:48" x14ac:dyDescent="0.25">
      <c r="A5" s="6" t="s">
        <v>47</v>
      </c>
      <c r="B5" s="7">
        <v>34</v>
      </c>
      <c r="C5" s="1">
        <v>6800</v>
      </c>
      <c r="D5" s="9">
        <v>0.45200000000000001</v>
      </c>
      <c r="E5" s="9">
        <v>10</v>
      </c>
      <c r="F5" s="9"/>
      <c r="G5" s="9">
        <v>0.75</v>
      </c>
      <c r="H5" s="9">
        <v>0.374</v>
      </c>
      <c r="I5" s="9">
        <v>0.128</v>
      </c>
      <c r="J5" s="9">
        <v>0.155</v>
      </c>
      <c r="K5" s="9">
        <v>9.5000000000000001E-2</v>
      </c>
      <c r="L5" s="9">
        <v>0.25</v>
      </c>
      <c r="M5" s="9"/>
      <c r="N5" s="9">
        <v>0.47899999999999998</v>
      </c>
      <c r="O5" s="9">
        <v>0.58499999999999996</v>
      </c>
      <c r="P5" s="9">
        <v>0.372</v>
      </c>
      <c r="Q5" s="9">
        <v>0.34300000000000003</v>
      </c>
      <c r="R5" s="9">
        <v>0.42399999999999999</v>
      </c>
      <c r="S5" s="9">
        <v>0.373</v>
      </c>
      <c r="T5" s="9"/>
      <c r="U5" s="9">
        <v>0.58099999999999996</v>
      </c>
      <c r="V5" s="9">
        <v>0.875</v>
      </c>
      <c r="W5" s="9"/>
      <c r="X5" s="10">
        <v>0.11799999999999999</v>
      </c>
      <c r="Y5" s="10">
        <v>0.317</v>
      </c>
      <c r="Z5" s="5"/>
      <c r="AA5" s="5"/>
      <c r="AB5" s="5">
        <f t="shared" si="0"/>
        <v>14</v>
      </c>
      <c r="AC5" s="5"/>
      <c r="AD5" s="5">
        <f t="shared" si="1"/>
        <v>6</v>
      </c>
      <c r="AE5" s="5">
        <f t="shared" si="2"/>
        <v>14</v>
      </c>
      <c r="AF5" s="5">
        <f t="shared" si="3"/>
        <v>1</v>
      </c>
      <c r="AG5" s="5">
        <f t="shared" si="4"/>
        <v>1</v>
      </c>
      <c r="AH5" s="5">
        <f t="shared" si="5"/>
        <v>2</v>
      </c>
      <c r="AI5" s="5">
        <f t="shared" si="6"/>
        <v>9</v>
      </c>
      <c r="AJ5" s="5"/>
      <c r="AK5" s="5">
        <f t="shared" si="7"/>
        <v>14</v>
      </c>
      <c r="AL5" s="5">
        <f t="shared" si="8"/>
        <v>7</v>
      </c>
      <c r="AM5" s="5">
        <f t="shared" si="9"/>
        <v>9</v>
      </c>
      <c r="AN5" s="5">
        <f t="shared" si="10"/>
        <v>4</v>
      </c>
      <c r="AO5" s="5">
        <f t="shared" si="11"/>
        <v>13</v>
      </c>
      <c r="AP5" s="5">
        <f t="shared" si="12"/>
        <v>14</v>
      </c>
      <c r="AQ5" s="5"/>
      <c r="AR5" s="5">
        <f t="shared" si="13"/>
        <v>13</v>
      </c>
      <c r="AS5" s="5">
        <f t="shared" si="14"/>
        <v>13</v>
      </c>
      <c r="AT5" s="5"/>
      <c r="AU5" s="5">
        <f t="shared" ref="AU5:AU18" si="15">RANK(X5,X$4:X$18,1)</f>
        <v>11</v>
      </c>
      <c r="AV5" s="5">
        <f t="shared" ref="AV5:AV18" si="16">RANK(Y5,Y$4:Y$18,1)</f>
        <v>7</v>
      </c>
    </row>
    <row r="6" spans="1:48" x14ac:dyDescent="0.25">
      <c r="A6" s="6" t="s">
        <v>48</v>
      </c>
      <c r="B6" s="7">
        <v>34</v>
      </c>
      <c r="C6" s="1">
        <v>6825</v>
      </c>
      <c r="D6" s="9">
        <v>0.40200000000000002</v>
      </c>
      <c r="E6" s="9">
        <v>11</v>
      </c>
      <c r="F6" s="9"/>
      <c r="G6" s="9">
        <v>0.78400000000000003</v>
      </c>
      <c r="H6" s="9">
        <v>0.26400000000000001</v>
      </c>
      <c r="I6" s="9">
        <v>0.187</v>
      </c>
      <c r="J6" s="9">
        <v>0.224</v>
      </c>
      <c r="K6" s="9">
        <v>0.109</v>
      </c>
      <c r="L6" s="9">
        <v>0.216</v>
      </c>
      <c r="M6" s="9"/>
      <c r="N6" s="9">
        <v>0.42499999999999999</v>
      </c>
      <c r="O6" s="9">
        <v>0.54900000000000004</v>
      </c>
      <c r="P6" s="9">
        <v>0.307</v>
      </c>
      <c r="Q6" s="9">
        <v>0.38</v>
      </c>
      <c r="R6" s="9">
        <v>0.41599999999999998</v>
      </c>
      <c r="S6" s="9">
        <v>0.32100000000000001</v>
      </c>
      <c r="T6" s="9"/>
      <c r="U6" s="9">
        <v>0.51</v>
      </c>
      <c r="V6" s="9">
        <v>0.78500000000000003</v>
      </c>
      <c r="W6" s="9"/>
      <c r="X6" s="10">
        <v>0.10199999999999999</v>
      </c>
      <c r="Y6" s="10">
        <v>0.34599999999999997</v>
      </c>
      <c r="Z6" s="5"/>
      <c r="AA6" s="5"/>
      <c r="AB6" s="5">
        <f t="shared" si="0"/>
        <v>3</v>
      </c>
      <c r="AC6" s="5"/>
      <c r="AD6" s="5">
        <f t="shared" si="1"/>
        <v>11</v>
      </c>
      <c r="AE6" s="5">
        <f t="shared" si="2"/>
        <v>3</v>
      </c>
      <c r="AF6" s="5">
        <f t="shared" si="3"/>
        <v>10</v>
      </c>
      <c r="AG6" s="5">
        <f t="shared" si="4"/>
        <v>13</v>
      </c>
      <c r="AH6" s="5">
        <f t="shared" si="5"/>
        <v>8</v>
      </c>
      <c r="AI6" s="5">
        <f t="shared" si="6"/>
        <v>3</v>
      </c>
      <c r="AJ6" s="5"/>
      <c r="AK6" s="5">
        <f t="shared" si="7"/>
        <v>3</v>
      </c>
      <c r="AL6" s="5">
        <f t="shared" si="8"/>
        <v>2</v>
      </c>
      <c r="AM6" s="5">
        <f t="shared" si="9"/>
        <v>1</v>
      </c>
      <c r="AN6" s="5">
        <f t="shared" si="10"/>
        <v>9</v>
      </c>
      <c r="AO6" s="5">
        <f t="shared" si="11"/>
        <v>12</v>
      </c>
      <c r="AP6" s="5">
        <f t="shared" si="12"/>
        <v>5</v>
      </c>
      <c r="AQ6" s="5"/>
      <c r="AR6" s="5">
        <f t="shared" si="13"/>
        <v>4</v>
      </c>
      <c r="AS6" s="5">
        <f t="shared" si="14"/>
        <v>5</v>
      </c>
      <c r="AT6" s="5"/>
      <c r="AU6" s="5">
        <f t="shared" si="15"/>
        <v>7</v>
      </c>
      <c r="AV6" s="5">
        <f t="shared" si="16"/>
        <v>11</v>
      </c>
    </row>
    <row r="7" spans="1:48" x14ac:dyDescent="0.25">
      <c r="A7" s="6" t="s">
        <v>49</v>
      </c>
      <c r="B7" s="7">
        <v>34</v>
      </c>
      <c r="C7" s="1">
        <v>6825</v>
      </c>
      <c r="D7" s="9">
        <v>0.38800000000000001</v>
      </c>
      <c r="E7" s="9">
        <v>12</v>
      </c>
      <c r="F7" s="9"/>
      <c r="G7" s="9">
        <v>0.74099999999999999</v>
      </c>
      <c r="H7" s="9">
        <v>0.25700000000000001</v>
      </c>
      <c r="I7" s="9">
        <v>0.14000000000000001</v>
      </c>
      <c r="J7" s="9">
        <v>0.23499999999999999</v>
      </c>
      <c r="K7" s="9">
        <v>0.109</v>
      </c>
      <c r="L7" s="9">
        <v>0.25900000000000001</v>
      </c>
      <c r="M7" s="9"/>
      <c r="N7" s="9">
        <v>0.41499999999999998</v>
      </c>
      <c r="O7" s="9">
        <v>0.51900000000000002</v>
      </c>
      <c r="P7" s="9">
        <v>0.33800000000000002</v>
      </c>
      <c r="Q7" s="9">
        <v>0.35199999999999998</v>
      </c>
      <c r="R7" s="9">
        <v>0.40400000000000003</v>
      </c>
      <c r="S7" s="9">
        <v>0.312</v>
      </c>
      <c r="T7" s="9"/>
      <c r="U7" s="9">
        <v>0.51700000000000002</v>
      </c>
      <c r="V7" s="9">
        <v>0.74299999999999999</v>
      </c>
      <c r="W7" s="9"/>
      <c r="X7" s="10">
        <v>0.10199999999999999</v>
      </c>
      <c r="Y7" s="10">
        <v>0.35099999999999998</v>
      </c>
      <c r="Z7" s="5"/>
      <c r="AA7" s="5"/>
      <c r="AB7" s="5">
        <f t="shared" si="0"/>
        <v>1</v>
      </c>
      <c r="AC7" s="5"/>
      <c r="AD7" s="5">
        <f t="shared" si="1"/>
        <v>3</v>
      </c>
      <c r="AE7" s="5">
        <f t="shared" si="2"/>
        <v>2</v>
      </c>
      <c r="AF7" s="5">
        <f t="shared" si="3"/>
        <v>5</v>
      </c>
      <c r="AG7" s="5">
        <f t="shared" si="4"/>
        <v>14</v>
      </c>
      <c r="AH7" s="5">
        <f t="shared" si="5"/>
        <v>8</v>
      </c>
      <c r="AI7" s="5">
        <f t="shared" si="6"/>
        <v>11</v>
      </c>
      <c r="AJ7" s="5"/>
      <c r="AK7" s="5">
        <f t="shared" si="7"/>
        <v>1</v>
      </c>
      <c r="AL7" s="5">
        <f t="shared" si="8"/>
        <v>1</v>
      </c>
      <c r="AM7" s="5">
        <f t="shared" si="9"/>
        <v>3</v>
      </c>
      <c r="AN7" s="5">
        <f t="shared" si="10"/>
        <v>7</v>
      </c>
      <c r="AO7" s="5">
        <f t="shared" si="11"/>
        <v>11</v>
      </c>
      <c r="AP7" s="5">
        <f t="shared" si="12"/>
        <v>4</v>
      </c>
      <c r="AQ7" s="5"/>
      <c r="AR7" s="5">
        <f t="shared" si="13"/>
        <v>6</v>
      </c>
      <c r="AS7" s="5">
        <f t="shared" si="14"/>
        <v>1</v>
      </c>
      <c r="AT7" s="5"/>
      <c r="AU7" s="5">
        <f t="shared" si="15"/>
        <v>7</v>
      </c>
      <c r="AV7" s="5">
        <f t="shared" si="16"/>
        <v>12</v>
      </c>
    </row>
    <row r="8" spans="1:48" x14ac:dyDescent="0.25">
      <c r="A8" s="6" t="s">
        <v>55</v>
      </c>
      <c r="B8" s="7">
        <v>34</v>
      </c>
      <c r="C8" s="1">
        <v>6925</v>
      </c>
      <c r="D8" s="9">
        <v>0.41599999999999998</v>
      </c>
      <c r="E8" s="9">
        <v>11</v>
      </c>
      <c r="F8" s="9"/>
      <c r="G8" s="9">
        <v>0.77800000000000002</v>
      </c>
      <c r="H8" s="9">
        <v>0.311</v>
      </c>
      <c r="I8" s="9">
        <v>0.13700000000000001</v>
      </c>
      <c r="J8" s="9">
        <v>0.21199999999999999</v>
      </c>
      <c r="K8" s="9">
        <v>0.11799999999999999</v>
      </c>
      <c r="L8" s="9">
        <v>0.222</v>
      </c>
      <c r="M8" s="9"/>
      <c r="N8" s="9">
        <v>0.44900000000000001</v>
      </c>
      <c r="O8" s="9">
        <v>0.57099999999999995</v>
      </c>
      <c r="P8" s="9">
        <v>0.379</v>
      </c>
      <c r="Q8" s="9">
        <v>0.36799999999999999</v>
      </c>
      <c r="R8" s="9">
        <v>0.35699999999999998</v>
      </c>
      <c r="S8" s="9">
        <v>0.29799999999999999</v>
      </c>
      <c r="T8" s="9"/>
      <c r="U8" s="9">
        <v>0.52600000000000002</v>
      </c>
      <c r="V8" s="9">
        <v>0.78400000000000003</v>
      </c>
      <c r="W8" s="9"/>
      <c r="X8" s="10">
        <v>8.1000000000000003E-2</v>
      </c>
      <c r="Y8" s="10">
        <v>0.3</v>
      </c>
      <c r="Z8" s="5"/>
      <c r="AA8" s="5"/>
      <c r="AB8" s="5">
        <f t="shared" si="0"/>
        <v>4</v>
      </c>
      <c r="AC8" s="5"/>
      <c r="AD8" s="5">
        <f t="shared" si="1"/>
        <v>8</v>
      </c>
      <c r="AE8" s="5">
        <f t="shared" si="2"/>
        <v>10</v>
      </c>
      <c r="AF8" s="5">
        <f t="shared" si="3"/>
        <v>3</v>
      </c>
      <c r="AG8" s="5">
        <f t="shared" si="4"/>
        <v>11</v>
      </c>
      <c r="AH8" s="5">
        <f t="shared" si="5"/>
        <v>12</v>
      </c>
      <c r="AI8" s="5">
        <f t="shared" si="6"/>
        <v>7</v>
      </c>
      <c r="AJ8" s="5"/>
      <c r="AK8" s="5">
        <f t="shared" si="7"/>
        <v>5</v>
      </c>
      <c r="AL8" s="5">
        <f t="shared" si="8"/>
        <v>5</v>
      </c>
      <c r="AM8" s="5">
        <f t="shared" si="9"/>
        <v>10</v>
      </c>
      <c r="AN8" s="5">
        <f t="shared" si="10"/>
        <v>8</v>
      </c>
      <c r="AO8" s="5">
        <f t="shared" si="11"/>
        <v>2</v>
      </c>
      <c r="AP8" s="5">
        <f t="shared" si="12"/>
        <v>1</v>
      </c>
      <c r="AQ8" s="5"/>
      <c r="AR8" s="5">
        <f t="shared" si="13"/>
        <v>8</v>
      </c>
      <c r="AS8" s="5">
        <f t="shared" si="14"/>
        <v>4</v>
      </c>
      <c r="AT8" s="5"/>
      <c r="AU8" s="5">
        <f t="shared" si="15"/>
        <v>3</v>
      </c>
      <c r="AV8" s="5">
        <f t="shared" si="16"/>
        <v>5</v>
      </c>
    </row>
    <row r="9" spans="1:48" x14ac:dyDescent="0.25">
      <c r="A9" s="6" t="s">
        <v>51</v>
      </c>
      <c r="B9" s="7">
        <v>34</v>
      </c>
      <c r="C9" s="1">
        <v>6850</v>
      </c>
      <c r="D9" s="9">
        <v>0.432</v>
      </c>
      <c r="E9" s="9">
        <v>11</v>
      </c>
      <c r="F9" s="9"/>
      <c r="G9" s="9">
        <v>0.78300000000000003</v>
      </c>
      <c r="H9" s="9">
        <v>0.24399999999999999</v>
      </c>
      <c r="I9" s="9">
        <v>0.214</v>
      </c>
      <c r="J9" s="9">
        <v>0.2</v>
      </c>
      <c r="K9" s="9">
        <v>0.124</v>
      </c>
      <c r="L9" s="9">
        <v>0.217</v>
      </c>
      <c r="M9" s="9"/>
      <c r="N9" s="9">
        <v>0.46700000000000003</v>
      </c>
      <c r="O9" s="9">
        <v>0.627</v>
      </c>
      <c r="P9" s="9">
        <v>0.40600000000000003</v>
      </c>
      <c r="Q9" s="9">
        <v>0.34</v>
      </c>
      <c r="R9" s="9">
        <v>0.46100000000000002</v>
      </c>
      <c r="S9" s="9">
        <v>0.309</v>
      </c>
      <c r="T9" s="9"/>
      <c r="U9" s="9">
        <v>0.53600000000000003</v>
      </c>
      <c r="V9" s="9">
        <v>0.78100000000000003</v>
      </c>
      <c r="W9" s="9"/>
      <c r="X9" s="10">
        <v>0.128</v>
      </c>
      <c r="Y9" s="10">
        <v>0.246</v>
      </c>
      <c r="Z9" s="5"/>
      <c r="AA9" s="5"/>
      <c r="AB9" s="5">
        <f t="shared" si="0"/>
        <v>9</v>
      </c>
      <c r="AC9" s="5"/>
      <c r="AD9" s="5">
        <f t="shared" si="1"/>
        <v>10</v>
      </c>
      <c r="AE9" s="5">
        <f t="shared" si="2"/>
        <v>1</v>
      </c>
      <c r="AF9" s="5">
        <f t="shared" si="3"/>
        <v>14</v>
      </c>
      <c r="AG9" s="5">
        <f t="shared" si="4"/>
        <v>7</v>
      </c>
      <c r="AH9" s="5">
        <f t="shared" si="5"/>
        <v>13</v>
      </c>
      <c r="AI9" s="5">
        <f t="shared" si="6"/>
        <v>5</v>
      </c>
      <c r="AJ9" s="5"/>
      <c r="AK9" s="5">
        <f t="shared" si="7"/>
        <v>10</v>
      </c>
      <c r="AL9" s="5">
        <f t="shared" si="8"/>
        <v>14</v>
      </c>
      <c r="AM9" s="5">
        <f t="shared" si="9"/>
        <v>13</v>
      </c>
      <c r="AN9" s="5">
        <f t="shared" si="10"/>
        <v>3</v>
      </c>
      <c r="AO9" s="5">
        <f t="shared" si="11"/>
        <v>14</v>
      </c>
      <c r="AP9" s="5">
        <f t="shared" si="12"/>
        <v>3</v>
      </c>
      <c r="AQ9" s="5"/>
      <c r="AR9" s="5">
        <f t="shared" si="13"/>
        <v>10</v>
      </c>
      <c r="AS9" s="5">
        <f t="shared" si="14"/>
        <v>3</v>
      </c>
      <c r="AT9" s="5"/>
      <c r="AU9" s="5">
        <f t="shared" si="15"/>
        <v>13</v>
      </c>
      <c r="AV9" s="5">
        <f t="shared" si="16"/>
        <v>1</v>
      </c>
    </row>
    <row r="10" spans="1:48" x14ac:dyDescent="0.25">
      <c r="A10" s="6" t="s">
        <v>52</v>
      </c>
      <c r="B10" s="7">
        <v>34</v>
      </c>
      <c r="C10" s="1">
        <v>6825</v>
      </c>
      <c r="D10" s="9">
        <v>0.4</v>
      </c>
      <c r="E10" s="9">
        <v>12</v>
      </c>
      <c r="F10" s="9"/>
      <c r="G10" s="9">
        <v>0.73899999999999999</v>
      </c>
      <c r="H10" s="9">
        <v>0.27700000000000002</v>
      </c>
      <c r="I10" s="9">
        <v>0.13400000000000001</v>
      </c>
      <c r="J10" s="9">
        <v>0.21199999999999999</v>
      </c>
      <c r="K10" s="9">
        <v>0.11600000000000001</v>
      </c>
      <c r="L10" s="9">
        <v>0.26100000000000001</v>
      </c>
      <c r="M10" s="9"/>
      <c r="N10" s="9">
        <v>0.41899999999999998</v>
      </c>
      <c r="O10" s="9">
        <v>0.55500000000000005</v>
      </c>
      <c r="P10" s="9">
        <v>0.35799999999999998</v>
      </c>
      <c r="Q10" s="9">
        <v>0.313</v>
      </c>
      <c r="R10" s="9">
        <v>0.36</v>
      </c>
      <c r="S10" s="9">
        <v>0.34399999999999997</v>
      </c>
      <c r="T10" s="9"/>
      <c r="U10" s="9">
        <v>0.58099999999999996</v>
      </c>
      <c r="V10" s="9">
        <v>0.878</v>
      </c>
      <c r="W10" s="9"/>
      <c r="X10" s="10">
        <v>8.7999999999999995E-2</v>
      </c>
      <c r="Y10" s="10">
        <v>0.4</v>
      </c>
      <c r="Z10" s="5"/>
      <c r="AA10" s="5"/>
      <c r="AB10" s="5">
        <f t="shared" si="0"/>
        <v>2</v>
      </c>
      <c r="AC10" s="5"/>
      <c r="AD10" s="5">
        <f t="shared" si="1"/>
        <v>2</v>
      </c>
      <c r="AE10" s="5">
        <f t="shared" si="2"/>
        <v>6</v>
      </c>
      <c r="AF10" s="5">
        <f t="shared" si="3"/>
        <v>2</v>
      </c>
      <c r="AG10" s="5">
        <f t="shared" si="4"/>
        <v>11</v>
      </c>
      <c r="AH10" s="5">
        <f t="shared" si="5"/>
        <v>11</v>
      </c>
      <c r="AI10" s="5">
        <f t="shared" si="6"/>
        <v>13</v>
      </c>
      <c r="AJ10" s="5"/>
      <c r="AK10" s="5">
        <f t="shared" si="7"/>
        <v>2</v>
      </c>
      <c r="AL10" s="5">
        <f t="shared" si="8"/>
        <v>3</v>
      </c>
      <c r="AM10" s="5">
        <f t="shared" si="9"/>
        <v>7</v>
      </c>
      <c r="AN10" s="5">
        <f t="shared" si="10"/>
        <v>1</v>
      </c>
      <c r="AO10" s="5">
        <f t="shared" si="11"/>
        <v>4</v>
      </c>
      <c r="AP10" s="5">
        <f t="shared" si="12"/>
        <v>10</v>
      </c>
      <c r="AQ10" s="5"/>
      <c r="AR10" s="5">
        <f t="shared" si="13"/>
        <v>13</v>
      </c>
      <c r="AS10" s="5">
        <f t="shared" si="14"/>
        <v>14</v>
      </c>
      <c r="AT10" s="5"/>
      <c r="AU10" s="5">
        <f t="shared" si="15"/>
        <v>5</v>
      </c>
      <c r="AV10" s="5">
        <f t="shared" si="16"/>
        <v>14</v>
      </c>
    </row>
    <row r="11" spans="1:48" x14ac:dyDescent="0.25">
      <c r="A11" s="6" t="s">
        <v>45</v>
      </c>
      <c r="B11" s="7">
        <v>34</v>
      </c>
      <c r="C11" s="1">
        <v>6825</v>
      </c>
      <c r="D11" s="9">
        <v>0.434</v>
      </c>
      <c r="E11" s="9">
        <v>11</v>
      </c>
      <c r="F11" s="9"/>
      <c r="G11" s="9">
        <v>0.76600000000000001</v>
      </c>
      <c r="H11" s="9">
        <v>0.32500000000000001</v>
      </c>
      <c r="I11" s="9">
        <v>0.14399999999999999</v>
      </c>
      <c r="J11" s="9">
        <v>0.20699999999999999</v>
      </c>
      <c r="K11" s="9">
        <v>0.09</v>
      </c>
      <c r="L11" s="9">
        <v>0.23400000000000001</v>
      </c>
      <c r="M11" s="9"/>
      <c r="N11" s="9">
        <v>0.46600000000000003</v>
      </c>
      <c r="O11" s="9">
        <v>0.60199999999999998</v>
      </c>
      <c r="P11" s="9">
        <v>0.32700000000000001</v>
      </c>
      <c r="Q11" s="9">
        <v>0.38300000000000001</v>
      </c>
      <c r="R11" s="9">
        <v>0.38500000000000001</v>
      </c>
      <c r="S11" s="9">
        <v>0.33</v>
      </c>
      <c r="T11" s="9"/>
      <c r="U11" s="9">
        <v>0.56799999999999995</v>
      </c>
      <c r="V11" s="9">
        <v>0.872</v>
      </c>
      <c r="W11" s="9"/>
      <c r="X11" s="10">
        <v>6.5000000000000002E-2</v>
      </c>
      <c r="Y11" s="10">
        <v>0.314</v>
      </c>
      <c r="Z11" s="5"/>
      <c r="AA11" s="5"/>
      <c r="AB11" s="5">
        <f t="shared" si="0"/>
        <v>11</v>
      </c>
      <c r="AC11" s="5"/>
      <c r="AD11" s="5">
        <f t="shared" si="1"/>
        <v>7</v>
      </c>
      <c r="AE11" s="5">
        <f t="shared" si="2"/>
        <v>11</v>
      </c>
      <c r="AF11" s="5">
        <f t="shared" si="3"/>
        <v>6</v>
      </c>
      <c r="AG11" s="5">
        <f t="shared" si="4"/>
        <v>9</v>
      </c>
      <c r="AH11" s="5">
        <f t="shared" si="5"/>
        <v>1</v>
      </c>
      <c r="AI11" s="5">
        <f t="shared" si="6"/>
        <v>8</v>
      </c>
      <c r="AJ11" s="5"/>
      <c r="AK11" s="5">
        <f t="shared" si="7"/>
        <v>9</v>
      </c>
      <c r="AL11" s="5">
        <f t="shared" si="8"/>
        <v>10</v>
      </c>
      <c r="AM11" s="5">
        <f t="shared" si="9"/>
        <v>2</v>
      </c>
      <c r="AN11" s="5">
        <f t="shared" si="10"/>
        <v>10</v>
      </c>
      <c r="AO11" s="5">
        <f t="shared" si="11"/>
        <v>7</v>
      </c>
      <c r="AP11" s="5">
        <f t="shared" si="12"/>
        <v>7</v>
      </c>
      <c r="AQ11" s="5"/>
      <c r="AR11" s="5">
        <f t="shared" si="13"/>
        <v>11</v>
      </c>
      <c r="AS11" s="5">
        <f t="shared" si="14"/>
        <v>11</v>
      </c>
      <c r="AT11" s="5"/>
      <c r="AU11" s="5">
        <f t="shared" si="15"/>
        <v>1</v>
      </c>
      <c r="AV11" s="5">
        <f t="shared" si="16"/>
        <v>6</v>
      </c>
    </row>
    <row r="12" spans="1:48" x14ac:dyDescent="0.25">
      <c r="A12" s="6" t="s">
        <v>46</v>
      </c>
      <c r="B12" s="7">
        <v>34</v>
      </c>
      <c r="C12" s="1">
        <v>6650</v>
      </c>
      <c r="D12" s="9">
        <v>0.45100000000000001</v>
      </c>
      <c r="E12" s="9">
        <v>10</v>
      </c>
      <c r="F12" s="9"/>
      <c r="G12" s="9">
        <v>0.79</v>
      </c>
      <c r="H12" s="9">
        <v>0.33400000000000002</v>
      </c>
      <c r="I12" s="9">
        <v>0.161</v>
      </c>
      <c r="J12" s="9">
        <v>0.186</v>
      </c>
      <c r="K12" s="9">
        <v>0.108</v>
      </c>
      <c r="L12" s="9">
        <v>0.21</v>
      </c>
      <c r="M12" s="9"/>
      <c r="N12" s="9">
        <v>0.47299999999999998</v>
      </c>
      <c r="O12" s="9">
        <v>0.55800000000000005</v>
      </c>
      <c r="P12" s="9">
        <v>0.42799999999999999</v>
      </c>
      <c r="Q12" s="9">
        <v>0.40699999999999997</v>
      </c>
      <c r="R12" s="9">
        <v>0.39300000000000002</v>
      </c>
      <c r="S12" s="9">
        <v>0.36599999999999999</v>
      </c>
      <c r="T12" s="9"/>
      <c r="U12" s="9">
        <v>0.46800000000000003</v>
      </c>
      <c r="V12" s="9">
        <v>0.78</v>
      </c>
      <c r="W12" s="9"/>
      <c r="X12" s="10">
        <v>0.108</v>
      </c>
      <c r="Y12" s="10">
        <v>0.34</v>
      </c>
      <c r="Z12" s="5"/>
      <c r="AA12" s="5"/>
      <c r="AB12" s="5">
        <f t="shared" si="0"/>
        <v>13</v>
      </c>
      <c r="AC12" s="5"/>
      <c r="AD12" s="5">
        <f t="shared" si="1"/>
        <v>13</v>
      </c>
      <c r="AE12" s="5">
        <f t="shared" si="2"/>
        <v>12</v>
      </c>
      <c r="AF12" s="5">
        <f t="shared" si="3"/>
        <v>9</v>
      </c>
      <c r="AG12" s="5">
        <f t="shared" si="4"/>
        <v>4</v>
      </c>
      <c r="AH12" s="5">
        <f t="shared" si="5"/>
        <v>7</v>
      </c>
      <c r="AI12" s="5">
        <f t="shared" si="6"/>
        <v>2</v>
      </c>
      <c r="AJ12" s="5"/>
      <c r="AK12" s="5">
        <f t="shared" si="7"/>
        <v>11</v>
      </c>
      <c r="AL12" s="5">
        <f t="shared" si="8"/>
        <v>4</v>
      </c>
      <c r="AM12" s="5">
        <f t="shared" si="9"/>
        <v>14</v>
      </c>
      <c r="AN12" s="5">
        <f t="shared" si="10"/>
        <v>13</v>
      </c>
      <c r="AO12" s="5">
        <f t="shared" si="11"/>
        <v>9</v>
      </c>
      <c r="AP12" s="5">
        <f t="shared" si="12"/>
        <v>12</v>
      </c>
      <c r="AQ12" s="5"/>
      <c r="AR12" s="5">
        <f t="shared" si="13"/>
        <v>1</v>
      </c>
      <c r="AS12" s="5">
        <f t="shared" si="14"/>
        <v>2</v>
      </c>
      <c r="AT12" s="5"/>
      <c r="AU12" s="5">
        <f t="shared" si="15"/>
        <v>9</v>
      </c>
      <c r="AV12" s="5">
        <f t="shared" si="16"/>
        <v>10</v>
      </c>
    </row>
    <row r="13" spans="1:48" x14ac:dyDescent="0.25">
      <c r="A13" s="6" t="s">
        <v>42</v>
      </c>
      <c r="B13" s="7">
        <v>34</v>
      </c>
      <c r="C13" s="1">
        <v>6675</v>
      </c>
      <c r="D13" s="9">
        <v>0.436</v>
      </c>
      <c r="E13" s="9">
        <v>11</v>
      </c>
      <c r="F13" s="9"/>
      <c r="G13" s="9">
        <v>0.74099999999999999</v>
      </c>
      <c r="H13" s="9">
        <v>0.28699999999999998</v>
      </c>
      <c r="I13" s="9">
        <v>0.16</v>
      </c>
      <c r="J13" s="9">
        <v>0.193</v>
      </c>
      <c r="K13" s="9">
        <v>0.1</v>
      </c>
      <c r="L13" s="9">
        <v>0.25900000000000001</v>
      </c>
      <c r="M13" s="9"/>
      <c r="N13" s="9">
        <v>0.47599999999999998</v>
      </c>
      <c r="O13" s="9">
        <v>0.61299999999999999</v>
      </c>
      <c r="P13" s="9">
        <v>0.39600000000000002</v>
      </c>
      <c r="Q13" s="9">
        <v>0.39200000000000002</v>
      </c>
      <c r="R13" s="9">
        <v>0.371</v>
      </c>
      <c r="S13" s="9">
        <v>0.32300000000000001</v>
      </c>
      <c r="T13" s="9"/>
      <c r="U13" s="9">
        <v>0.496</v>
      </c>
      <c r="V13" s="9">
        <v>0.84299999999999997</v>
      </c>
      <c r="W13" s="9"/>
      <c r="X13" s="10">
        <v>0.127</v>
      </c>
      <c r="Y13" s="10">
        <v>0.26700000000000002</v>
      </c>
      <c r="Z13" s="5"/>
      <c r="AA13" s="5"/>
      <c r="AB13" s="5">
        <f t="shared" si="0"/>
        <v>12</v>
      </c>
      <c r="AC13" s="5"/>
      <c r="AD13" s="5">
        <f t="shared" si="1"/>
        <v>3</v>
      </c>
      <c r="AE13" s="5">
        <f t="shared" si="2"/>
        <v>9</v>
      </c>
      <c r="AF13" s="5">
        <f t="shared" si="3"/>
        <v>8</v>
      </c>
      <c r="AG13" s="5">
        <f t="shared" si="4"/>
        <v>6</v>
      </c>
      <c r="AH13" s="5">
        <f t="shared" si="5"/>
        <v>4</v>
      </c>
      <c r="AI13" s="5">
        <f t="shared" si="6"/>
        <v>11</v>
      </c>
      <c r="AJ13" s="5"/>
      <c r="AK13" s="5">
        <f t="shared" si="7"/>
        <v>13</v>
      </c>
      <c r="AL13" s="5">
        <f t="shared" si="8"/>
        <v>11</v>
      </c>
      <c r="AM13" s="5">
        <f t="shared" si="9"/>
        <v>11</v>
      </c>
      <c r="AN13" s="5">
        <f t="shared" si="10"/>
        <v>11</v>
      </c>
      <c r="AO13" s="5">
        <f t="shared" si="11"/>
        <v>6</v>
      </c>
      <c r="AP13" s="5">
        <f t="shared" si="12"/>
        <v>6</v>
      </c>
      <c r="AQ13" s="5"/>
      <c r="AR13" s="5">
        <f t="shared" si="13"/>
        <v>3</v>
      </c>
      <c r="AS13" s="5">
        <f t="shared" si="14"/>
        <v>8</v>
      </c>
      <c r="AT13" s="5"/>
      <c r="AU13" s="5">
        <f t="shared" si="15"/>
        <v>12</v>
      </c>
      <c r="AV13" s="5">
        <f t="shared" si="16"/>
        <v>3</v>
      </c>
    </row>
    <row r="14" spans="1:48" x14ac:dyDescent="0.25">
      <c r="A14" s="6" t="s">
        <v>50</v>
      </c>
      <c r="B14" s="7">
        <v>34</v>
      </c>
      <c r="C14" s="1">
        <v>6875</v>
      </c>
      <c r="D14" s="9">
        <v>0.43099999999999999</v>
      </c>
      <c r="E14" s="9">
        <v>12</v>
      </c>
      <c r="F14" s="9"/>
      <c r="G14" s="9">
        <v>0.749</v>
      </c>
      <c r="H14" s="9">
        <v>0.28000000000000003</v>
      </c>
      <c r="I14" s="9">
        <v>0.13800000000000001</v>
      </c>
      <c r="J14" s="9">
        <v>0.20499999999999999</v>
      </c>
      <c r="K14" s="9">
        <v>0.127</v>
      </c>
      <c r="L14" s="9">
        <v>0.251</v>
      </c>
      <c r="M14" s="9"/>
      <c r="N14" s="9">
        <v>0.47299999999999998</v>
      </c>
      <c r="O14" s="9">
        <v>0.59499999999999997</v>
      </c>
      <c r="P14" s="9">
        <v>0.39800000000000002</v>
      </c>
      <c r="Q14" s="9">
        <v>0.40600000000000003</v>
      </c>
      <c r="R14" s="9">
        <v>0.39500000000000002</v>
      </c>
      <c r="S14" s="9">
        <v>0.308</v>
      </c>
      <c r="T14" s="9"/>
      <c r="U14" s="9">
        <v>0.52700000000000002</v>
      </c>
      <c r="V14" s="9">
        <v>0.83299999999999996</v>
      </c>
      <c r="W14" s="9"/>
      <c r="X14" s="10">
        <v>7.6999999999999999E-2</v>
      </c>
      <c r="Y14" s="10">
        <v>0.28199999999999997</v>
      </c>
      <c r="Z14" s="5"/>
      <c r="AA14" s="5"/>
      <c r="AB14" s="5">
        <f t="shared" si="0"/>
        <v>7</v>
      </c>
      <c r="AC14" s="5"/>
      <c r="AD14" s="5">
        <f t="shared" si="1"/>
        <v>5</v>
      </c>
      <c r="AE14" s="5">
        <f t="shared" si="2"/>
        <v>8</v>
      </c>
      <c r="AF14" s="5">
        <f t="shared" si="3"/>
        <v>4</v>
      </c>
      <c r="AG14" s="5">
        <f t="shared" si="4"/>
        <v>8</v>
      </c>
      <c r="AH14" s="5">
        <f t="shared" si="5"/>
        <v>14</v>
      </c>
      <c r="AI14" s="5">
        <f t="shared" si="6"/>
        <v>10</v>
      </c>
      <c r="AJ14" s="5"/>
      <c r="AK14" s="5">
        <f t="shared" si="7"/>
        <v>11</v>
      </c>
      <c r="AL14" s="5">
        <f t="shared" si="8"/>
        <v>8</v>
      </c>
      <c r="AM14" s="5">
        <f t="shared" si="9"/>
        <v>12</v>
      </c>
      <c r="AN14" s="5">
        <f t="shared" si="10"/>
        <v>12</v>
      </c>
      <c r="AO14" s="5">
        <f t="shared" si="11"/>
        <v>10</v>
      </c>
      <c r="AP14" s="5">
        <f t="shared" si="12"/>
        <v>2</v>
      </c>
      <c r="AQ14" s="5"/>
      <c r="AR14" s="5">
        <f t="shared" si="13"/>
        <v>9</v>
      </c>
      <c r="AS14" s="5">
        <f t="shared" si="14"/>
        <v>6</v>
      </c>
      <c r="AT14" s="5"/>
      <c r="AU14" s="5">
        <f t="shared" si="15"/>
        <v>2</v>
      </c>
      <c r="AV14" s="5">
        <f t="shared" si="16"/>
        <v>4</v>
      </c>
    </row>
    <row r="15" spans="1:48" x14ac:dyDescent="0.25">
      <c r="A15" s="6" t="s">
        <v>43</v>
      </c>
      <c r="B15" s="7">
        <v>34</v>
      </c>
      <c r="C15" s="1">
        <v>6800</v>
      </c>
      <c r="D15" s="9">
        <v>0.43099999999999999</v>
      </c>
      <c r="E15" s="9">
        <v>11</v>
      </c>
      <c r="F15" s="9"/>
      <c r="G15" s="9">
        <v>0.79700000000000004</v>
      </c>
      <c r="H15" s="9">
        <v>0.27700000000000002</v>
      </c>
      <c r="I15" s="9">
        <v>0.21</v>
      </c>
      <c r="J15" s="9">
        <v>0.20699999999999999</v>
      </c>
      <c r="K15" s="9">
        <v>0.10299999999999999</v>
      </c>
      <c r="L15" s="9">
        <v>0.20300000000000001</v>
      </c>
      <c r="M15" s="9"/>
      <c r="N15" s="9">
        <v>0.44900000000000001</v>
      </c>
      <c r="O15" s="9">
        <v>0.61799999999999999</v>
      </c>
      <c r="P15" s="9">
        <v>0.36799999999999999</v>
      </c>
      <c r="Q15" s="9">
        <v>0.34399999999999997</v>
      </c>
      <c r="R15" s="9">
        <v>0.36899999999999999</v>
      </c>
      <c r="S15" s="9">
        <v>0.35899999999999999</v>
      </c>
      <c r="T15" s="9"/>
      <c r="U15" s="9">
        <v>0.52200000000000002</v>
      </c>
      <c r="V15" s="9">
        <v>0.83599999999999997</v>
      </c>
      <c r="W15" s="9"/>
      <c r="X15" s="10">
        <v>8.5000000000000006E-2</v>
      </c>
      <c r="Y15" s="10">
        <v>0.35899999999999999</v>
      </c>
      <c r="Z15" s="5"/>
      <c r="AA15" s="5"/>
      <c r="AB15" s="5">
        <f t="shared" si="0"/>
        <v>7</v>
      </c>
      <c r="AC15" s="5"/>
      <c r="AD15" s="5">
        <f t="shared" si="1"/>
        <v>14</v>
      </c>
      <c r="AE15" s="5">
        <f t="shared" si="2"/>
        <v>6</v>
      </c>
      <c r="AF15" s="5">
        <f t="shared" si="3"/>
        <v>12</v>
      </c>
      <c r="AG15" s="5">
        <f t="shared" si="4"/>
        <v>9</v>
      </c>
      <c r="AH15" s="5">
        <f t="shared" si="5"/>
        <v>5</v>
      </c>
      <c r="AI15" s="5">
        <f t="shared" si="6"/>
        <v>1</v>
      </c>
      <c r="AJ15" s="5"/>
      <c r="AK15" s="5">
        <f t="shared" si="7"/>
        <v>5</v>
      </c>
      <c r="AL15" s="5">
        <f t="shared" si="8"/>
        <v>12</v>
      </c>
      <c r="AM15" s="5">
        <f t="shared" si="9"/>
        <v>8</v>
      </c>
      <c r="AN15" s="5">
        <f t="shared" si="10"/>
        <v>5</v>
      </c>
      <c r="AO15" s="5">
        <f t="shared" si="11"/>
        <v>5</v>
      </c>
      <c r="AP15" s="5">
        <f t="shared" si="12"/>
        <v>11</v>
      </c>
      <c r="AQ15" s="5"/>
      <c r="AR15" s="5">
        <f t="shared" si="13"/>
        <v>7</v>
      </c>
      <c r="AS15" s="5">
        <f t="shared" si="14"/>
        <v>7</v>
      </c>
      <c r="AT15" s="5"/>
      <c r="AU15" s="5">
        <f t="shared" si="15"/>
        <v>4</v>
      </c>
      <c r="AV15" s="5">
        <f t="shared" si="16"/>
        <v>13</v>
      </c>
    </row>
    <row r="16" spans="1:48" x14ac:dyDescent="0.25">
      <c r="A16" s="6" t="s">
        <v>54</v>
      </c>
      <c r="B16" s="7">
        <v>34</v>
      </c>
      <c r="C16" s="1">
        <v>6800</v>
      </c>
      <c r="D16" s="9">
        <v>0.42399999999999999</v>
      </c>
      <c r="E16" s="9">
        <v>11</v>
      </c>
      <c r="F16" s="9"/>
      <c r="G16" s="9">
        <v>0.78200000000000003</v>
      </c>
      <c r="H16" s="9">
        <v>0.26700000000000002</v>
      </c>
      <c r="I16" s="9">
        <v>0.21299999999999999</v>
      </c>
      <c r="J16" s="9">
        <v>0.19</v>
      </c>
      <c r="K16" s="9">
        <v>0.111</v>
      </c>
      <c r="L16" s="9">
        <v>0.218</v>
      </c>
      <c r="M16" s="9"/>
      <c r="N16" s="9">
        <v>0.44800000000000001</v>
      </c>
      <c r="O16" s="9">
        <v>0.622</v>
      </c>
      <c r="P16" s="9">
        <v>0.34699999999999998</v>
      </c>
      <c r="Q16" s="9">
        <v>0.35099999999999998</v>
      </c>
      <c r="R16" s="9">
        <v>0.38500000000000001</v>
      </c>
      <c r="S16" s="9">
        <v>0.33900000000000002</v>
      </c>
      <c r="T16" s="9"/>
      <c r="U16" s="9">
        <v>0.48599999999999999</v>
      </c>
      <c r="V16" s="9">
        <v>0.872</v>
      </c>
      <c r="W16" s="9"/>
      <c r="X16" s="10">
        <v>0.159</v>
      </c>
      <c r="Y16" s="10">
        <v>0.32500000000000001</v>
      </c>
      <c r="Z16" s="5"/>
      <c r="AA16" s="5"/>
      <c r="AB16" s="5">
        <f t="shared" si="0"/>
        <v>5</v>
      </c>
      <c r="AC16" s="5"/>
      <c r="AD16" s="5">
        <f t="shared" si="1"/>
        <v>9</v>
      </c>
      <c r="AE16" s="5">
        <f t="shared" si="2"/>
        <v>4</v>
      </c>
      <c r="AF16" s="5">
        <f t="shared" si="3"/>
        <v>13</v>
      </c>
      <c r="AG16" s="5">
        <f t="shared" si="4"/>
        <v>5</v>
      </c>
      <c r="AH16" s="5">
        <f t="shared" si="5"/>
        <v>10</v>
      </c>
      <c r="AI16" s="5">
        <f t="shared" si="6"/>
        <v>6</v>
      </c>
      <c r="AJ16" s="5"/>
      <c r="AK16" s="5">
        <f t="shared" si="7"/>
        <v>4</v>
      </c>
      <c r="AL16" s="5">
        <f t="shared" si="8"/>
        <v>13</v>
      </c>
      <c r="AM16" s="5">
        <f t="shared" si="9"/>
        <v>4</v>
      </c>
      <c r="AN16" s="5">
        <f t="shared" si="10"/>
        <v>6</v>
      </c>
      <c r="AO16" s="5">
        <f t="shared" si="11"/>
        <v>7</v>
      </c>
      <c r="AP16" s="5">
        <f t="shared" si="12"/>
        <v>9</v>
      </c>
      <c r="AQ16" s="5"/>
      <c r="AR16" s="5">
        <f t="shared" si="13"/>
        <v>2</v>
      </c>
      <c r="AS16" s="5">
        <f t="shared" si="14"/>
        <v>11</v>
      </c>
      <c r="AT16" s="5"/>
      <c r="AU16" s="5">
        <f t="shared" si="15"/>
        <v>14</v>
      </c>
      <c r="AV16" s="5">
        <f t="shared" si="16"/>
        <v>9</v>
      </c>
    </row>
    <row r="17" spans="1:48" x14ac:dyDescent="0.25">
      <c r="A17" s="6" t="s">
        <v>53</v>
      </c>
      <c r="B17" s="7">
        <v>34</v>
      </c>
      <c r="C17" s="1">
        <v>6850</v>
      </c>
      <c r="D17" s="9">
        <v>0.432</v>
      </c>
      <c r="E17" s="9">
        <v>11</v>
      </c>
      <c r="F17" s="9"/>
      <c r="G17" s="9">
        <v>0.73699999999999999</v>
      </c>
      <c r="H17" s="9">
        <v>0.27400000000000002</v>
      </c>
      <c r="I17" s="9">
        <v>0.2</v>
      </c>
      <c r="J17" s="9">
        <v>0.16500000000000001</v>
      </c>
      <c r="K17" s="9">
        <v>9.8000000000000004E-2</v>
      </c>
      <c r="L17" s="9">
        <v>0.26300000000000001</v>
      </c>
      <c r="M17" s="9"/>
      <c r="N17" s="9">
        <v>0.45500000000000002</v>
      </c>
      <c r="O17" s="9">
        <v>0.60099999999999998</v>
      </c>
      <c r="P17" s="9">
        <v>0.35699999999999998</v>
      </c>
      <c r="Q17" s="9">
        <v>0.41799999999999998</v>
      </c>
      <c r="R17" s="9">
        <v>0.311</v>
      </c>
      <c r="S17" s="9">
        <v>0.36899999999999999</v>
      </c>
      <c r="T17" s="9"/>
      <c r="U17" s="9">
        <v>0.57899999999999996</v>
      </c>
      <c r="V17" s="9">
        <v>0.85799999999999998</v>
      </c>
      <c r="W17" s="9"/>
      <c r="X17" s="10">
        <v>0.112</v>
      </c>
      <c r="Y17" s="10">
        <v>0.32300000000000001</v>
      </c>
      <c r="Z17" s="5"/>
      <c r="AA17" s="5"/>
      <c r="AB17" s="5">
        <f t="shared" si="0"/>
        <v>9</v>
      </c>
      <c r="AC17" s="5"/>
      <c r="AD17" s="5">
        <f t="shared" si="1"/>
        <v>1</v>
      </c>
      <c r="AE17" s="5">
        <f t="shared" si="2"/>
        <v>5</v>
      </c>
      <c r="AF17" s="5">
        <f t="shared" si="3"/>
        <v>11</v>
      </c>
      <c r="AG17" s="5">
        <f t="shared" si="4"/>
        <v>2</v>
      </c>
      <c r="AH17" s="5">
        <f t="shared" si="5"/>
        <v>3</v>
      </c>
      <c r="AI17" s="5">
        <f t="shared" si="6"/>
        <v>14</v>
      </c>
      <c r="AJ17" s="5"/>
      <c r="AK17" s="5">
        <f t="shared" si="7"/>
        <v>8</v>
      </c>
      <c r="AL17" s="5">
        <f t="shared" si="8"/>
        <v>9</v>
      </c>
      <c r="AM17" s="5">
        <f t="shared" si="9"/>
        <v>6</v>
      </c>
      <c r="AN17" s="5">
        <f t="shared" si="10"/>
        <v>14</v>
      </c>
      <c r="AO17" s="5">
        <f t="shared" si="11"/>
        <v>1</v>
      </c>
      <c r="AP17" s="5">
        <f t="shared" si="12"/>
        <v>13</v>
      </c>
      <c r="AQ17" s="5"/>
      <c r="AR17" s="5">
        <f t="shared" si="13"/>
        <v>12</v>
      </c>
      <c r="AS17" s="5">
        <f t="shared" si="14"/>
        <v>10</v>
      </c>
      <c r="AT17" s="5"/>
      <c r="AU17" s="5">
        <f t="shared" si="15"/>
        <v>10</v>
      </c>
      <c r="AV17" s="5">
        <f t="shared" si="16"/>
        <v>8</v>
      </c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6810.7142857142853</v>
      </c>
      <c r="D24" s="9">
        <f t="shared" si="17"/>
        <v>0.42521428571428582</v>
      </c>
      <c r="E24" s="9">
        <f t="shared" si="17"/>
        <v>11</v>
      </c>
      <c r="F24" s="9"/>
      <c r="G24" s="9">
        <f t="shared" si="17"/>
        <v>0.76578571428571429</v>
      </c>
      <c r="H24" s="9">
        <f t="shared" si="17"/>
        <v>0.29414285714285715</v>
      </c>
      <c r="I24" s="9">
        <f t="shared" si="17"/>
        <v>0.16521428571428573</v>
      </c>
      <c r="J24" s="9">
        <f t="shared" si="17"/>
        <v>0.19828571428571426</v>
      </c>
      <c r="K24" s="9">
        <f t="shared" si="17"/>
        <v>0.10807142857142858</v>
      </c>
      <c r="L24" s="9">
        <f t="shared" si="17"/>
        <v>0.23421428571428568</v>
      </c>
      <c r="M24" s="9"/>
      <c r="N24" s="9">
        <f t="shared" si="17"/>
        <v>0.45307142857142862</v>
      </c>
      <c r="O24" s="9">
        <f t="shared" si="17"/>
        <v>0.58528571428571419</v>
      </c>
      <c r="P24" s="9">
        <f t="shared" si="17"/>
        <v>0.36642857142857144</v>
      </c>
      <c r="Q24" s="9">
        <f t="shared" si="17"/>
        <v>0.3665714285714286</v>
      </c>
      <c r="R24" s="9">
        <f t="shared" si="17"/>
        <v>0.3849285714285714</v>
      </c>
      <c r="S24" s="9">
        <f t="shared" si="17"/>
        <v>0.33457142857142858</v>
      </c>
      <c r="T24" s="9"/>
      <c r="U24" s="9">
        <f t="shared" si="17"/>
        <v>0.52949999999999997</v>
      </c>
      <c r="V24" s="9">
        <f t="shared" si="17"/>
        <v>0.82800000000000007</v>
      </c>
      <c r="W24" s="9"/>
      <c r="X24" s="9">
        <f t="shared" si="17"/>
        <v>0.10364285714285713</v>
      </c>
      <c r="Y24" s="9">
        <f t="shared" si="17"/>
        <v>0.3165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A1:Y1"/>
    <mergeCell ref="AB1:AV1"/>
    <mergeCell ref="G2:L2"/>
    <mergeCell ref="N2:S2"/>
    <mergeCell ref="U2:V2"/>
    <mergeCell ref="X2:Y2"/>
    <mergeCell ref="AD2:AI2"/>
    <mergeCell ref="AK2:AP2"/>
    <mergeCell ref="AR2:AS2"/>
  </mergeCells>
  <pageMargins left="0.7" right="0.7" top="0.75" bottom="0.75" header="0" footer="0"/>
  <pageSetup orientation="landscape" r:id="rId1"/>
  <ignoredErrors>
    <ignoredError sqref="H3:W3 AB3 AC3:AN3 X3:AA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ADVANCED</vt:lpstr>
      <vt:lpstr>SHOOTING</vt:lpstr>
      <vt:lpstr>SHOOTING OPPONENT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2026-09-09T08:53:00Z</dcterms:modified>
</cp:coreProperties>
</file>