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TEAM\"/>
    </mc:Choice>
  </mc:AlternateContent>
  <xr:revisionPtr revIDLastSave="0" documentId="13_ncr:1_{2945AE43-4D63-4F19-B06F-2F6FBFA744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SHOOTING!$A$3:$W$3</definedName>
    <definedName name="_xlnm._FilterDatabase" localSheetId="2" hidden="1">'SHOOTING OPPONENT'!$A$3:$W$3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B4" i="4" l="1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V5" i="5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4" i="5"/>
  <c r="AU5" i="5"/>
  <c r="AU6" i="5"/>
  <c r="AU7" i="5"/>
  <c r="AU8" i="5"/>
  <c r="AU9" i="5"/>
  <c r="AU10" i="5"/>
  <c r="AU11" i="5"/>
  <c r="AU12" i="5"/>
  <c r="AU13" i="5"/>
  <c r="AU14" i="5"/>
  <c r="AU15" i="5"/>
  <c r="AU16" i="5"/>
  <c r="AU17" i="5"/>
  <c r="AU18" i="5"/>
  <c r="AU4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4" i="5"/>
  <c r="AR5" i="5"/>
  <c r="AR6" i="5"/>
  <c r="AR7" i="5"/>
  <c r="AR8" i="5"/>
  <c r="AR9" i="5"/>
  <c r="AR10" i="5"/>
  <c r="AR11" i="5"/>
  <c r="AR12" i="5"/>
  <c r="AR13" i="5"/>
  <c r="AR14" i="5"/>
  <c r="AR15" i="5"/>
  <c r="AR16" i="5"/>
  <c r="AR17" i="5"/>
  <c r="AR18" i="5"/>
  <c r="AR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4" i="5"/>
  <c r="AM5" i="5"/>
  <c r="AM6" i="5"/>
  <c r="AM7" i="5"/>
  <c r="AM8" i="5"/>
  <c r="AM9" i="5"/>
  <c r="AM10" i="5"/>
  <c r="AM11" i="5"/>
  <c r="AM12" i="5"/>
  <c r="AM13" i="5"/>
  <c r="AM14" i="5"/>
  <c r="AM15" i="5"/>
  <c r="AM16" i="5"/>
  <c r="AM17" i="5"/>
  <c r="AM18" i="5"/>
  <c r="AM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17" i="5"/>
  <c r="AL18" i="5"/>
  <c r="AL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17" i="5"/>
  <c r="AK18" i="5"/>
  <c r="AK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4" i="5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G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4" i="3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4" i="4"/>
  <c r="AE4" i="4"/>
  <c r="AF4" i="4"/>
  <c r="AG4" i="4"/>
  <c r="AH4" i="4"/>
  <c r="AI4" i="4"/>
  <c r="AK4" i="4"/>
  <c r="AL4" i="4"/>
  <c r="AM4" i="4"/>
  <c r="AN4" i="4"/>
  <c r="AO4" i="4"/>
  <c r="AP4" i="4"/>
  <c r="AR4" i="4"/>
  <c r="AS4" i="4"/>
  <c r="AU4" i="4"/>
  <c r="AV4" i="4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V5" i="3"/>
  <c r="AV6" i="3"/>
  <c r="AV7" i="3"/>
  <c r="AV8" i="3"/>
  <c r="AV9" i="3"/>
  <c r="AV10" i="3"/>
  <c r="AV11" i="3"/>
  <c r="AV12" i="3"/>
  <c r="AV13" i="3"/>
  <c r="AV14" i="3"/>
  <c r="AV15" i="3"/>
  <c r="AV16" i="3"/>
  <c r="AV17" i="3"/>
  <c r="AV18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</calcChain>
</file>

<file path=xl/sharedStrings.xml><?xml version="1.0" encoding="utf-8"?>
<sst xmlns="http://schemas.openxmlformats.org/spreadsheetml/2006/main" count="199" uniqueCount="58">
  <si>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</si>
  <si>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</si>
  <si>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</si>
  <si>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</si>
  <si>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</si>
  <si>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</si>
  <si>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</si>
  <si>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</si>
  <si>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</si>
  <si>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</si>
  <si>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</si>
  <si>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</si>
  <si>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</si>
  <si>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</si>
  <si>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</si>
  <si>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</si>
  <si>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</si>
  <si>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</si>
  <si>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</si>
  <si>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</si>
  <si>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</si>
  <si>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</si>
  <si>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</si>
  <si>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</si>
  <si>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</si>
  <si>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</si>
  <si>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</si>
  <si>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</si>
  <si>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</si>
  <si>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</si>
  <si>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</si>
  <si>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</si>
  <si>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</si>
  <si>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</si>
  <si>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</si>
  <si>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%3PA</t>
  </si>
  <si>
    <t>3P%</t>
  </si>
  <si>
    <t>Frequency</t>
  </si>
  <si>
    <t>Efficiency</t>
  </si>
  <si>
    <t>% Ast'd</t>
  </si>
  <si>
    <t>Corner</t>
  </si>
  <si>
    <t>Moyenne</t>
  </si>
  <si>
    <t>Minnesota Lynx*</t>
  </si>
  <si>
    <t>Golden State Valkyries*</t>
  </si>
  <si>
    <t>Atlanta Dream*</t>
  </si>
  <si>
    <t>Indiana Fever*</t>
  </si>
  <si>
    <t>Las Vegas Aces*</t>
  </si>
  <si>
    <t>New York Liberty*</t>
  </si>
  <si>
    <t>Washington Mystics*</t>
  </si>
  <si>
    <t>Chicago Sky</t>
  </si>
  <si>
    <t>Phoenix Mercury</t>
  </si>
  <si>
    <t>Portland Fire</t>
  </si>
  <si>
    <t>Seattle Storm</t>
  </si>
  <si>
    <t>Los Angeles Sparks</t>
  </si>
  <si>
    <t>Toronto Tempo</t>
  </si>
  <si>
    <t>Connecticut Sun</t>
  </si>
  <si>
    <t>Dallas Wings*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</si>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</sst>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tabSelected="1" zoomScaleNormal="100" workbookViewId="0">
      <pane xSplit="1" topLeftCell="B1" activePane="topRight" state="frozen"/>
      <selection pane="topRight" sqref="A1:Z1"/>
    </sheetView>
  </sheetViews>
  <sheetFormatPr baseColWidth="10" defaultColWidth="12.5703125" defaultRowHeight="15" customHeight="1" x14ac:dyDescent="0.25"/>
  <cols>
    <col min="1" max="1" width="25.7109375" customWidth="1"/>
    <col min="2" max="53" width="7.7109375" customWidth="1"/>
  </cols>
  <sheetData>
    <row r="1" spans="1:53" ht="24.95" customHeight="1" x14ac:dyDescent="0.4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C1" s="18" t="s">
        <v>57</v>
      </c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</row>
    <row r="2" spans="1:53" ht="26.25" x14ac:dyDescent="0.4">
      <c r="A2" s="11"/>
      <c r="B2" s="17" t="s">
        <v>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1"/>
      <c r="R2" s="17" t="s">
        <v>22</v>
      </c>
      <c r="S2" s="17"/>
      <c r="T2" s="17"/>
      <c r="U2" s="17"/>
      <c r="V2" s="11"/>
      <c r="W2" s="17" t="s">
        <v>23</v>
      </c>
      <c r="X2" s="17"/>
      <c r="Y2" s="17"/>
      <c r="Z2" s="17"/>
      <c r="AC2" s="17" t="s">
        <v>0</v>
      </c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2"/>
      <c r="AS2" s="17" t="s">
        <v>22</v>
      </c>
      <c r="AT2" s="17"/>
      <c r="AU2" s="17"/>
      <c r="AV2" s="17"/>
      <c r="AW2" s="12"/>
      <c r="AX2" s="17" t="s">
        <v>23</v>
      </c>
      <c r="AY2" s="17"/>
      <c r="AZ2" s="17"/>
      <c r="BA2" s="17"/>
    </row>
    <row r="3" spans="1:53" x14ac:dyDescent="0.25">
      <c r="A3" s="13" t="s">
        <v>1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3" t="s">
        <v>16</v>
      </c>
      <c r="H3" s="13" t="s">
        <v>17</v>
      </c>
      <c r="I3" s="13" t="s">
        <v>18</v>
      </c>
      <c r="J3" s="13" t="s">
        <v>8</v>
      </c>
      <c r="K3" s="13" t="s">
        <v>9</v>
      </c>
      <c r="L3" s="13" t="s">
        <v>10</v>
      </c>
      <c r="M3" s="13" t="s">
        <v>19</v>
      </c>
      <c r="N3" s="13" t="s">
        <v>5</v>
      </c>
      <c r="O3" s="13" t="s">
        <v>4</v>
      </c>
      <c r="P3" s="13" t="s">
        <v>2</v>
      </c>
      <c r="Q3" s="13"/>
      <c r="R3" s="13" t="s">
        <v>3</v>
      </c>
      <c r="S3" s="13" t="s">
        <v>7</v>
      </c>
      <c r="T3" s="13" t="s">
        <v>6</v>
      </c>
      <c r="U3" s="13" t="s">
        <v>20</v>
      </c>
      <c r="V3" s="13"/>
      <c r="W3" s="13" t="s">
        <v>3</v>
      </c>
      <c r="X3" s="13" t="s">
        <v>7</v>
      </c>
      <c r="Y3" s="13" t="s">
        <v>21</v>
      </c>
      <c r="Z3" s="13" t="s">
        <v>20</v>
      </c>
      <c r="AC3" s="13" t="s">
        <v>11</v>
      </c>
      <c r="AD3" s="13" t="s">
        <v>12</v>
      </c>
      <c r="AE3" s="13" t="s">
        <v>13</v>
      </c>
      <c r="AF3" s="13" t="s">
        <v>14</v>
      </c>
      <c r="AG3" s="13" t="s">
        <v>15</v>
      </c>
      <c r="AH3" s="13" t="s">
        <v>16</v>
      </c>
      <c r="AI3" s="13" t="s">
        <v>17</v>
      </c>
      <c r="AJ3" s="13" t="s">
        <v>18</v>
      </c>
      <c r="AK3" s="13" t="s">
        <v>8</v>
      </c>
      <c r="AL3" s="13" t="s">
        <v>9</v>
      </c>
      <c r="AM3" s="13" t="s">
        <v>10</v>
      </c>
      <c r="AN3" s="13" t="s">
        <v>19</v>
      </c>
      <c r="AO3" s="13" t="s">
        <v>5</v>
      </c>
      <c r="AP3" s="13" t="s">
        <v>4</v>
      </c>
      <c r="AQ3" s="13" t="s">
        <v>2</v>
      </c>
      <c r="AR3" s="13"/>
      <c r="AS3" s="13" t="s">
        <v>3</v>
      </c>
      <c r="AT3" s="13" t="s">
        <v>7</v>
      </c>
      <c r="AU3" s="13" t="s">
        <v>6</v>
      </c>
      <c r="AV3" s="13" t="s">
        <v>20</v>
      </c>
      <c r="AW3" s="13"/>
      <c r="AX3" s="13" t="s">
        <v>3</v>
      </c>
      <c r="AY3" s="13" t="s">
        <v>7</v>
      </c>
      <c r="AZ3" s="13" t="s">
        <v>21</v>
      </c>
      <c r="BA3" s="13" t="s">
        <v>20</v>
      </c>
    </row>
    <row r="4" spans="1:53" x14ac:dyDescent="0.25">
      <c r="A4" s="6" t="s">
        <v>42</v>
      </c>
      <c r="B4" s="8">
        <v>29.7</v>
      </c>
      <c r="C4" s="1">
        <v>31</v>
      </c>
      <c r="D4" s="1">
        <v>9</v>
      </c>
      <c r="E4" s="1">
        <v>31</v>
      </c>
      <c r="F4" s="1">
        <v>9</v>
      </c>
      <c r="G4" s="9">
        <v>7.88</v>
      </c>
      <c r="H4" s="9">
        <v>-0.42</v>
      </c>
      <c r="I4" s="9">
        <v>7.46</v>
      </c>
      <c r="J4" s="9">
        <v>115.4</v>
      </c>
      <c r="K4" s="9">
        <v>105.4</v>
      </c>
      <c r="L4" s="9">
        <v>10</v>
      </c>
      <c r="M4" s="9">
        <v>79.2</v>
      </c>
      <c r="N4" s="9">
        <v>0.247</v>
      </c>
      <c r="O4" s="9">
        <v>0.33600000000000002</v>
      </c>
      <c r="P4" s="9">
        <v>0.58399999999999996</v>
      </c>
      <c r="Q4" s="1"/>
      <c r="R4" s="9">
        <v>0.54700000000000004</v>
      </c>
      <c r="S4" s="9">
        <v>13.7</v>
      </c>
      <c r="T4" s="9">
        <v>28.2</v>
      </c>
      <c r="U4" s="9">
        <v>0.2</v>
      </c>
      <c r="V4" s="1"/>
      <c r="W4" s="9">
        <v>0.499</v>
      </c>
      <c r="X4" s="9">
        <v>15.8</v>
      </c>
      <c r="Y4" s="9">
        <v>72.7</v>
      </c>
      <c r="Z4" s="9">
        <v>0.214</v>
      </c>
      <c r="AA4" s="5"/>
      <c r="AB4" s="5"/>
      <c r="AC4" s="5">
        <f t="shared" ref="AC4:AQ18" si="0">RANK(B4,B$4:B$18,0)</f>
        <v>2</v>
      </c>
      <c r="AD4" s="5">
        <f t="shared" si="0"/>
        <v>1</v>
      </c>
      <c r="AE4" s="5">
        <f>RANK(D4,D$4:D$18,1)</f>
        <v>1</v>
      </c>
      <c r="AF4" s="5">
        <f t="shared" si="0"/>
        <v>1</v>
      </c>
      <c r="AG4" s="5">
        <f>RANK(F4,F$4:F$18,1)</f>
        <v>1</v>
      </c>
      <c r="AH4" s="5">
        <f t="shared" si="0"/>
        <v>1</v>
      </c>
      <c r="AI4" s="5">
        <f t="shared" si="0"/>
        <v>14</v>
      </c>
      <c r="AJ4" s="5">
        <f t="shared" si="0"/>
        <v>1</v>
      </c>
      <c r="AK4" s="5">
        <f t="shared" si="0"/>
        <v>2</v>
      </c>
      <c r="AL4" s="5">
        <f>RANK(K4,K$4:K$18,1)</f>
        <v>2</v>
      </c>
      <c r="AM4" s="5">
        <f t="shared" si="0"/>
        <v>1</v>
      </c>
      <c r="AN4" s="5">
        <f t="shared" si="0"/>
        <v>8</v>
      </c>
      <c r="AO4" s="5">
        <f t="shared" si="0"/>
        <v>15</v>
      </c>
      <c r="AP4" s="5">
        <f t="shared" si="0"/>
        <v>11</v>
      </c>
      <c r="AQ4" s="5">
        <f t="shared" si="0"/>
        <v>4</v>
      </c>
      <c r="AR4" s="5"/>
      <c r="AS4" s="5">
        <f>RANK(R4,R$4:R$18,0)</f>
        <v>2</v>
      </c>
      <c r="AT4" s="5">
        <f>RANK(S4,S$4:S$18,1)</f>
        <v>5</v>
      </c>
      <c r="AU4" s="5">
        <f>RANK(T4,T$4:T$18,0)</f>
        <v>3</v>
      </c>
      <c r="AV4" s="5">
        <f>RANK(U4,U$4:U$18,0)</f>
        <v>15</v>
      </c>
      <c r="AW4" s="5"/>
      <c r="AX4" s="5">
        <f>RANK(W4,W$4:W$18,1)</f>
        <v>4</v>
      </c>
      <c r="AY4" s="5">
        <f>RANK(X4,X$4:X$18,0)</f>
        <v>3</v>
      </c>
      <c r="AZ4" s="5">
        <f>RANK(Y4,Y$4:Y$18,0)</f>
        <v>11</v>
      </c>
      <c r="BA4" s="5">
        <f>RANK(Z4,Z$4:Z$18,1)</f>
        <v>2</v>
      </c>
    </row>
    <row r="5" spans="1:53" x14ac:dyDescent="0.25">
      <c r="A5" s="6" t="s">
        <v>43</v>
      </c>
      <c r="B5" s="8">
        <v>28.6</v>
      </c>
      <c r="C5" s="1">
        <v>29</v>
      </c>
      <c r="D5" s="1">
        <v>11</v>
      </c>
      <c r="E5" s="1">
        <v>31</v>
      </c>
      <c r="F5" s="1">
        <v>9</v>
      </c>
      <c r="G5" s="9">
        <v>7.2</v>
      </c>
      <c r="H5" s="9">
        <v>0</v>
      </c>
      <c r="I5" s="9">
        <v>7.2</v>
      </c>
      <c r="J5" s="9">
        <v>110.9</v>
      </c>
      <c r="K5" s="9">
        <v>101.3</v>
      </c>
      <c r="L5" s="9">
        <v>9.6</v>
      </c>
      <c r="M5" s="9">
        <v>74.5</v>
      </c>
      <c r="N5" s="9">
        <v>0.26900000000000002</v>
      </c>
      <c r="O5" s="9">
        <v>0.45</v>
      </c>
      <c r="P5" s="9">
        <v>0.54300000000000004</v>
      </c>
      <c r="Q5" s="1"/>
      <c r="R5" s="9">
        <v>0.503</v>
      </c>
      <c r="S5" s="9">
        <v>12</v>
      </c>
      <c r="T5" s="9">
        <v>27</v>
      </c>
      <c r="U5" s="9">
        <v>0.20899999999999999</v>
      </c>
      <c r="V5" s="1"/>
      <c r="W5" s="9">
        <v>0.48099999999999998</v>
      </c>
      <c r="X5" s="9">
        <v>16</v>
      </c>
      <c r="Y5" s="9">
        <v>75.3</v>
      </c>
      <c r="Z5" s="9">
        <v>0.24299999999999999</v>
      </c>
      <c r="AA5" s="5"/>
      <c r="AB5" s="5"/>
      <c r="AC5" s="5">
        <f t="shared" ref="AC5:AC18" si="1">RANK(B5,B$4:B$18,0)</f>
        <v>7</v>
      </c>
      <c r="AD5" s="5">
        <f t="shared" ref="AD5:AD18" si="2">RANK(C5,C$4:C$18,0)</f>
        <v>2</v>
      </c>
      <c r="AE5" s="5">
        <f t="shared" ref="AE5:AE18" si="3">RANK(D5,D$4:D$18,1)</f>
        <v>2</v>
      </c>
      <c r="AF5" s="5">
        <f t="shared" si="0"/>
        <v>1</v>
      </c>
      <c r="AG5" s="5">
        <f t="shared" ref="AG5:AG18" si="4">RANK(F5,F$4:F$18,1)</f>
        <v>1</v>
      </c>
      <c r="AH5" s="5">
        <f t="shared" ref="AH5:AH18" si="5">RANK(G5,G$4:G$18,0)</f>
        <v>2</v>
      </c>
      <c r="AI5" s="5">
        <f t="shared" ref="AI5:AI18" si="6">RANK(H5,H$4:H$18,0)</f>
        <v>8</v>
      </c>
      <c r="AJ5" s="5">
        <f t="shared" ref="AJ5:AJ18" si="7">RANK(I5,I$4:I$18,0)</f>
        <v>2</v>
      </c>
      <c r="AK5" s="5">
        <f t="shared" ref="AK5:AK18" si="8">RANK(J5,J$4:J$18,0)</f>
        <v>7</v>
      </c>
      <c r="AL5" s="5">
        <f t="shared" ref="AL5:AL18" si="9">RANK(K5,K$4:K$18,1)</f>
        <v>1</v>
      </c>
      <c r="AM5" s="5">
        <f t="shared" ref="AM5:AM18" si="10">RANK(L5,L$4:L$18,0)</f>
        <v>2</v>
      </c>
      <c r="AN5" s="5">
        <f t="shared" ref="AN5:AN18" si="11">RANK(M5,M$4:M$18,0)</f>
        <v>15</v>
      </c>
      <c r="AO5" s="5">
        <f t="shared" ref="AO5:AO18" si="12">RANK(N5,N$4:N$18,0)</f>
        <v>12</v>
      </c>
      <c r="AP5" s="5">
        <f t="shared" ref="AP5:AP18" si="13">RANK(O5,O$4:O$18,0)</f>
        <v>1</v>
      </c>
      <c r="AQ5" s="5">
        <f t="shared" ref="AQ5:AQ18" si="14">RANK(P5,P$4:P$18,0)</f>
        <v>12</v>
      </c>
      <c r="AR5" s="5"/>
      <c r="AS5" s="5">
        <f t="shared" ref="AS5:AU11" si="15">RANK(R5,R$4:R$18,0)</f>
        <v>10</v>
      </c>
      <c r="AT5" s="5">
        <f t="shared" ref="AT5:AT18" si="16">RANK(S5,S$4:S$18,1)</f>
        <v>1</v>
      </c>
      <c r="AU5" s="5">
        <f t="shared" si="15"/>
        <v>4</v>
      </c>
      <c r="AV5" s="5">
        <f t="shared" ref="AV5:AV18" si="17">RANK(U5,U$4:U$18,0)</f>
        <v>13</v>
      </c>
      <c r="AW5" s="5"/>
      <c r="AX5" s="5">
        <f t="shared" ref="AX5:AX18" si="18">RANK(W5,W$4:W$18,1)</f>
        <v>1</v>
      </c>
      <c r="AY5" s="5">
        <f t="shared" ref="AY5:AZ18" si="19">RANK(X5,X$4:X$18,0)</f>
        <v>2</v>
      </c>
      <c r="AZ5" s="5">
        <f t="shared" si="19"/>
        <v>7</v>
      </c>
      <c r="BA5" s="5">
        <f t="shared" ref="BA5:BA18" si="20">RANK(Z5,Z$4:Z$18,1)</f>
        <v>8</v>
      </c>
    </row>
    <row r="6" spans="1:53" x14ac:dyDescent="0.25">
      <c r="A6" s="6" t="s">
        <v>45</v>
      </c>
      <c r="B6" s="8">
        <v>26.9</v>
      </c>
      <c r="C6" s="1">
        <v>26</v>
      </c>
      <c r="D6" s="1">
        <v>14</v>
      </c>
      <c r="E6" s="1">
        <v>28</v>
      </c>
      <c r="F6" s="1">
        <v>12</v>
      </c>
      <c r="G6" s="9">
        <v>6.05</v>
      </c>
      <c r="H6" s="9">
        <v>-0.43</v>
      </c>
      <c r="I6" s="9">
        <v>5.62</v>
      </c>
      <c r="J6" s="9">
        <v>117.9</v>
      </c>
      <c r="K6" s="9">
        <v>110.5</v>
      </c>
      <c r="L6" s="9">
        <v>7.4</v>
      </c>
      <c r="M6" s="9">
        <v>81.2</v>
      </c>
      <c r="N6" s="9">
        <v>0.32600000000000001</v>
      </c>
      <c r="O6" s="9">
        <v>0.38</v>
      </c>
      <c r="P6" s="9">
        <v>0.61099999999999999</v>
      </c>
      <c r="Q6" s="1"/>
      <c r="R6" s="9">
        <v>0.56699999999999995</v>
      </c>
      <c r="S6" s="9">
        <v>14.4</v>
      </c>
      <c r="T6" s="9">
        <v>25.2</v>
      </c>
      <c r="U6" s="9">
        <v>0.26400000000000001</v>
      </c>
      <c r="V6" s="1"/>
      <c r="W6" s="9">
        <v>0.51500000000000001</v>
      </c>
      <c r="X6" s="9">
        <v>13.4</v>
      </c>
      <c r="Y6" s="9">
        <v>75.099999999999994</v>
      </c>
      <c r="Z6" s="9">
        <v>0.252</v>
      </c>
      <c r="AA6" s="5"/>
      <c r="AB6" s="5"/>
      <c r="AC6" s="5">
        <f t="shared" si="1"/>
        <v>10</v>
      </c>
      <c r="AD6" s="5">
        <f t="shared" si="2"/>
        <v>4</v>
      </c>
      <c r="AE6" s="5">
        <f t="shared" si="3"/>
        <v>4</v>
      </c>
      <c r="AF6" s="5">
        <f t="shared" si="0"/>
        <v>3</v>
      </c>
      <c r="AG6" s="5">
        <f t="shared" si="4"/>
        <v>3</v>
      </c>
      <c r="AH6" s="5">
        <f t="shared" si="5"/>
        <v>3</v>
      </c>
      <c r="AI6" s="5">
        <f t="shared" si="6"/>
        <v>15</v>
      </c>
      <c r="AJ6" s="5">
        <f t="shared" si="7"/>
        <v>3</v>
      </c>
      <c r="AK6" s="5">
        <f t="shared" si="8"/>
        <v>1</v>
      </c>
      <c r="AL6" s="5">
        <f t="shared" si="9"/>
        <v>12</v>
      </c>
      <c r="AM6" s="5">
        <f t="shared" si="10"/>
        <v>3</v>
      </c>
      <c r="AN6" s="5">
        <f t="shared" si="11"/>
        <v>3</v>
      </c>
      <c r="AO6" s="5">
        <f t="shared" si="12"/>
        <v>5</v>
      </c>
      <c r="AP6" s="5">
        <f t="shared" si="13"/>
        <v>7</v>
      </c>
      <c r="AQ6" s="5">
        <f t="shared" si="14"/>
        <v>1</v>
      </c>
      <c r="AR6" s="5"/>
      <c r="AS6" s="5">
        <f t="shared" si="15"/>
        <v>1</v>
      </c>
      <c r="AT6" s="5">
        <f t="shared" si="16"/>
        <v>7</v>
      </c>
      <c r="AU6" s="5">
        <f t="shared" si="15"/>
        <v>9</v>
      </c>
      <c r="AV6" s="5">
        <f t="shared" si="17"/>
        <v>4</v>
      </c>
      <c r="AW6" s="5"/>
      <c r="AX6" s="5">
        <f t="shared" si="18"/>
        <v>8</v>
      </c>
      <c r="AY6" s="5">
        <f t="shared" si="19"/>
        <v>12</v>
      </c>
      <c r="AZ6" s="5">
        <f t="shared" si="19"/>
        <v>8</v>
      </c>
      <c r="BA6" s="5">
        <f t="shared" si="20"/>
        <v>11</v>
      </c>
    </row>
    <row r="7" spans="1:53" x14ac:dyDescent="0.25">
      <c r="A7" s="6" t="s">
        <v>44</v>
      </c>
      <c r="B7" s="8">
        <v>26.4</v>
      </c>
      <c r="C7" s="1">
        <v>26</v>
      </c>
      <c r="D7" s="1">
        <v>14</v>
      </c>
      <c r="E7" s="1">
        <v>28</v>
      </c>
      <c r="F7" s="1">
        <v>12</v>
      </c>
      <c r="G7" s="9">
        <v>5.0999999999999996</v>
      </c>
      <c r="H7" s="9">
        <v>-0.24</v>
      </c>
      <c r="I7" s="9">
        <v>4.8600000000000003</v>
      </c>
      <c r="J7" s="9">
        <v>112.3</v>
      </c>
      <c r="K7" s="9">
        <v>106</v>
      </c>
      <c r="L7" s="9">
        <v>6.3</v>
      </c>
      <c r="M7" s="9">
        <v>80.599999999999994</v>
      </c>
      <c r="N7" s="9">
        <v>0.34300000000000003</v>
      </c>
      <c r="O7" s="9">
        <v>0.38300000000000001</v>
      </c>
      <c r="P7" s="9">
        <v>0.55300000000000005</v>
      </c>
      <c r="Q7" s="1"/>
      <c r="R7" s="9">
        <v>0.501</v>
      </c>
      <c r="S7" s="9">
        <v>13.8</v>
      </c>
      <c r="T7" s="9">
        <v>31.2</v>
      </c>
      <c r="U7" s="9">
        <v>0.27</v>
      </c>
      <c r="V7" s="1"/>
      <c r="W7" s="9">
        <v>0.54</v>
      </c>
      <c r="X7" s="9">
        <v>17.3</v>
      </c>
      <c r="Y7" s="9">
        <v>79.2</v>
      </c>
      <c r="Z7" s="9">
        <v>0.24399999999999999</v>
      </c>
      <c r="AA7" s="5"/>
      <c r="AB7" s="5"/>
      <c r="AC7" s="5">
        <f t="shared" si="1"/>
        <v>11</v>
      </c>
      <c r="AD7" s="5">
        <f t="shared" si="2"/>
        <v>4</v>
      </c>
      <c r="AE7" s="5">
        <f t="shared" si="3"/>
        <v>4</v>
      </c>
      <c r="AF7" s="5">
        <f t="shared" si="0"/>
        <v>3</v>
      </c>
      <c r="AG7" s="5">
        <f t="shared" si="4"/>
        <v>3</v>
      </c>
      <c r="AH7" s="5">
        <f t="shared" si="5"/>
        <v>4</v>
      </c>
      <c r="AI7" s="5">
        <f t="shared" si="6"/>
        <v>12</v>
      </c>
      <c r="AJ7" s="5">
        <f t="shared" si="7"/>
        <v>4</v>
      </c>
      <c r="AK7" s="5">
        <f t="shared" si="8"/>
        <v>6</v>
      </c>
      <c r="AL7" s="5">
        <f t="shared" si="9"/>
        <v>4</v>
      </c>
      <c r="AM7" s="5">
        <f t="shared" si="10"/>
        <v>4</v>
      </c>
      <c r="AN7" s="5">
        <f t="shared" si="11"/>
        <v>4</v>
      </c>
      <c r="AO7" s="5">
        <f t="shared" si="12"/>
        <v>3</v>
      </c>
      <c r="AP7" s="5">
        <f t="shared" si="13"/>
        <v>5</v>
      </c>
      <c r="AQ7" s="5">
        <f t="shared" si="14"/>
        <v>10</v>
      </c>
      <c r="AR7" s="5"/>
      <c r="AS7" s="5">
        <f t="shared" si="15"/>
        <v>11</v>
      </c>
      <c r="AT7" s="5">
        <f t="shared" si="16"/>
        <v>6</v>
      </c>
      <c r="AU7" s="5">
        <f t="shared" si="15"/>
        <v>2</v>
      </c>
      <c r="AV7" s="5">
        <f t="shared" si="17"/>
        <v>3</v>
      </c>
      <c r="AW7" s="5"/>
      <c r="AX7" s="5">
        <f t="shared" si="18"/>
        <v>15</v>
      </c>
      <c r="AY7" s="5">
        <f t="shared" si="19"/>
        <v>1</v>
      </c>
      <c r="AZ7" s="5">
        <f t="shared" si="19"/>
        <v>1</v>
      </c>
      <c r="BA7" s="5">
        <f t="shared" si="20"/>
        <v>9</v>
      </c>
    </row>
    <row r="8" spans="1:53" x14ac:dyDescent="0.25">
      <c r="A8" s="6" t="s">
        <v>46</v>
      </c>
      <c r="B8" s="8">
        <v>29.4</v>
      </c>
      <c r="C8" s="1">
        <v>27</v>
      </c>
      <c r="D8" s="1">
        <v>13</v>
      </c>
      <c r="E8" s="1">
        <v>26</v>
      </c>
      <c r="F8" s="1">
        <v>14</v>
      </c>
      <c r="G8" s="9">
        <v>4.08</v>
      </c>
      <c r="H8" s="9">
        <v>-0.03</v>
      </c>
      <c r="I8" s="9">
        <v>4.04</v>
      </c>
      <c r="J8" s="9">
        <v>113.4</v>
      </c>
      <c r="K8" s="9">
        <v>108.3</v>
      </c>
      <c r="L8" s="9">
        <v>5.0999999999999996</v>
      </c>
      <c r="M8" s="9">
        <v>79.400000000000006</v>
      </c>
      <c r="N8" s="9">
        <v>0.29499999999999998</v>
      </c>
      <c r="O8" s="9">
        <v>0.34899999999999998</v>
      </c>
      <c r="P8" s="9">
        <v>0.58699999999999997</v>
      </c>
      <c r="Q8" s="1"/>
      <c r="R8" s="9">
        <v>0.54300000000000004</v>
      </c>
      <c r="S8" s="9">
        <v>13.4</v>
      </c>
      <c r="T8" s="9">
        <v>23.5</v>
      </c>
      <c r="U8" s="9">
        <v>0.24</v>
      </c>
      <c r="V8" s="1"/>
      <c r="W8" s="9">
        <v>0.51</v>
      </c>
      <c r="X8" s="9">
        <v>14.2</v>
      </c>
      <c r="Y8" s="9">
        <v>75.599999999999994</v>
      </c>
      <c r="Z8" s="9">
        <v>0.22</v>
      </c>
      <c r="AA8" s="5"/>
      <c r="AB8" s="5"/>
      <c r="AC8" s="5">
        <f t="shared" si="1"/>
        <v>4</v>
      </c>
      <c r="AD8" s="5">
        <f t="shared" si="2"/>
        <v>3</v>
      </c>
      <c r="AE8" s="5">
        <f t="shared" si="3"/>
        <v>3</v>
      </c>
      <c r="AF8" s="5">
        <f t="shared" si="0"/>
        <v>5</v>
      </c>
      <c r="AG8" s="5">
        <f t="shared" si="4"/>
        <v>5</v>
      </c>
      <c r="AH8" s="5">
        <f t="shared" si="5"/>
        <v>5</v>
      </c>
      <c r="AI8" s="5">
        <f t="shared" si="6"/>
        <v>9</v>
      </c>
      <c r="AJ8" s="5">
        <f t="shared" si="7"/>
        <v>5</v>
      </c>
      <c r="AK8" s="5">
        <f t="shared" si="8"/>
        <v>3</v>
      </c>
      <c r="AL8" s="5">
        <f t="shared" si="9"/>
        <v>5</v>
      </c>
      <c r="AM8" s="5">
        <f t="shared" si="10"/>
        <v>5</v>
      </c>
      <c r="AN8" s="5">
        <f t="shared" si="11"/>
        <v>6</v>
      </c>
      <c r="AO8" s="5">
        <f t="shared" si="12"/>
        <v>9</v>
      </c>
      <c r="AP8" s="5">
        <f t="shared" si="13"/>
        <v>10</v>
      </c>
      <c r="AQ8" s="5">
        <f t="shared" si="14"/>
        <v>2</v>
      </c>
      <c r="AR8" s="5"/>
      <c r="AS8" s="5">
        <f t="shared" si="15"/>
        <v>3</v>
      </c>
      <c r="AT8" s="5">
        <f t="shared" si="16"/>
        <v>3</v>
      </c>
      <c r="AU8" s="5">
        <f t="shared" si="15"/>
        <v>12</v>
      </c>
      <c r="AV8" s="5">
        <f t="shared" si="17"/>
        <v>8</v>
      </c>
      <c r="AW8" s="5"/>
      <c r="AX8" s="5">
        <f t="shared" si="18"/>
        <v>7</v>
      </c>
      <c r="AY8" s="5">
        <f t="shared" si="19"/>
        <v>8</v>
      </c>
      <c r="AZ8" s="5">
        <f t="shared" si="19"/>
        <v>5</v>
      </c>
      <c r="BA8" s="5">
        <f t="shared" si="20"/>
        <v>6</v>
      </c>
    </row>
    <row r="9" spans="1:53" x14ac:dyDescent="0.25">
      <c r="A9" s="6" t="s">
        <v>56</v>
      </c>
      <c r="B9" s="8">
        <v>27</v>
      </c>
      <c r="C9" s="1">
        <v>24</v>
      </c>
      <c r="D9" s="1">
        <v>16</v>
      </c>
      <c r="E9" s="1">
        <v>26</v>
      </c>
      <c r="F9" s="1">
        <v>14</v>
      </c>
      <c r="G9" s="9">
        <v>3.65</v>
      </c>
      <c r="H9" s="9">
        <v>0.16</v>
      </c>
      <c r="I9" s="9">
        <v>3.81</v>
      </c>
      <c r="J9" s="9">
        <v>113</v>
      </c>
      <c r="K9" s="9">
        <v>108.3</v>
      </c>
      <c r="L9" s="9">
        <v>4.7</v>
      </c>
      <c r="M9" s="9">
        <v>78.3</v>
      </c>
      <c r="N9" s="9">
        <v>0.26</v>
      </c>
      <c r="O9" s="9">
        <v>0.33600000000000002</v>
      </c>
      <c r="P9" s="9">
        <v>0.56299999999999994</v>
      </c>
      <c r="Q9" s="1"/>
      <c r="R9" s="9">
        <v>0.52500000000000002</v>
      </c>
      <c r="S9" s="9">
        <v>12.2</v>
      </c>
      <c r="T9" s="9">
        <v>25.3</v>
      </c>
      <c r="U9" s="9">
        <v>0.20599999999999999</v>
      </c>
      <c r="V9" s="1"/>
      <c r="W9" s="9">
        <v>0.50900000000000001</v>
      </c>
      <c r="X9" s="9">
        <v>13.5</v>
      </c>
      <c r="Y9" s="9">
        <v>75.400000000000006</v>
      </c>
      <c r="Z9" s="9">
        <v>0.219</v>
      </c>
      <c r="AA9" s="5"/>
      <c r="AB9" s="5"/>
      <c r="AC9" s="5">
        <f t="shared" si="1"/>
        <v>9</v>
      </c>
      <c r="AD9" s="5">
        <f t="shared" si="2"/>
        <v>6</v>
      </c>
      <c r="AE9" s="5">
        <f t="shared" si="3"/>
        <v>6</v>
      </c>
      <c r="AF9" s="5">
        <f t="shared" si="0"/>
        <v>5</v>
      </c>
      <c r="AG9" s="5">
        <f t="shared" si="4"/>
        <v>5</v>
      </c>
      <c r="AH9" s="5">
        <f t="shared" si="5"/>
        <v>6</v>
      </c>
      <c r="AI9" s="5">
        <f t="shared" si="6"/>
        <v>4</v>
      </c>
      <c r="AJ9" s="5">
        <f t="shared" si="7"/>
        <v>6</v>
      </c>
      <c r="AK9" s="5">
        <f t="shared" si="8"/>
        <v>5</v>
      </c>
      <c r="AL9" s="5">
        <f t="shared" si="9"/>
        <v>5</v>
      </c>
      <c r="AM9" s="5">
        <f t="shared" si="10"/>
        <v>6</v>
      </c>
      <c r="AN9" s="5">
        <f t="shared" si="11"/>
        <v>13</v>
      </c>
      <c r="AO9" s="5">
        <f t="shared" si="12"/>
        <v>14</v>
      </c>
      <c r="AP9" s="5">
        <f t="shared" si="13"/>
        <v>11</v>
      </c>
      <c r="AQ9" s="5">
        <f t="shared" si="14"/>
        <v>7</v>
      </c>
      <c r="AR9" s="5"/>
      <c r="AS9" s="5">
        <f t="shared" si="15"/>
        <v>7</v>
      </c>
      <c r="AT9" s="5">
        <f t="shared" si="16"/>
        <v>2</v>
      </c>
      <c r="AU9" s="5">
        <f t="shared" si="15"/>
        <v>8</v>
      </c>
      <c r="AV9" s="5">
        <f t="shared" si="17"/>
        <v>14</v>
      </c>
      <c r="AW9" s="5"/>
      <c r="AX9" s="5">
        <f t="shared" si="18"/>
        <v>6</v>
      </c>
      <c r="AY9" s="5">
        <f t="shared" si="19"/>
        <v>11</v>
      </c>
      <c r="AZ9" s="5">
        <f t="shared" si="19"/>
        <v>6</v>
      </c>
      <c r="BA9" s="5">
        <f t="shared" si="20"/>
        <v>4</v>
      </c>
    </row>
    <row r="10" spans="1:53" x14ac:dyDescent="0.25">
      <c r="A10" s="6" t="s">
        <v>47</v>
      </c>
      <c r="B10" s="8">
        <v>29.4</v>
      </c>
      <c r="C10" s="1">
        <v>24</v>
      </c>
      <c r="D10" s="1">
        <v>16</v>
      </c>
      <c r="E10" s="1">
        <v>25</v>
      </c>
      <c r="F10" s="1">
        <v>15</v>
      </c>
      <c r="G10" s="9">
        <v>2.98</v>
      </c>
      <c r="H10" s="9">
        <v>-0.38</v>
      </c>
      <c r="I10" s="9">
        <v>2.59</v>
      </c>
      <c r="J10" s="9">
        <v>113.1</v>
      </c>
      <c r="K10" s="9">
        <v>109.4</v>
      </c>
      <c r="L10" s="9">
        <v>3.7</v>
      </c>
      <c r="M10" s="9">
        <v>78.900000000000006</v>
      </c>
      <c r="N10" s="9">
        <v>0.309</v>
      </c>
      <c r="O10" s="9">
        <v>0.433</v>
      </c>
      <c r="P10" s="9">
        <v>0.58699999999999997</v>
      </c>
      <c r="Q10" s="1"/>
      <c r="R10" s="9">
        <v>0.53600000000000003</v>
      </c>
      <c r="S10" s="9">
        <v>15</v>
      </c>
      <c r="T10" s="9">
        <v>25.9</v>
      </c>
      <c r="U10" s="9">
        <v>0.26300000000000001</v>
      </c>
      <c r="V10" s="1"/>
      <c r="W10" s="9">
        <v>0.51800000000000002</v>
      </c>
      <c r="X10" s="9">
        <v>12.3</v>
      </c>
      <c r="Y10" s="9">
        <v>77.2</v>
      </c>
      <c r="Z10" s="9">
        <v>0.192</v>
      </c>
      <c r="AA10" s="5"/>
      <c r="AB10" s="5"/>
      <c r="AC10" s="5">
        <f t="shared" si="1"/>
        <v>4</v>
      </c>
      <c r="AD10" s="5">
        <f t="shared" si="2"/>
        <v>6</v>
      </c>
      <c r="AE10" s="5">
        <f t="shared" si="3"/>
        <v>6</v>
      </c>
      <c r="AF10" s="5">
        <f t="shared" si="0"/>
        <v>7</v>
      </c>
      <c r="AG10" s="5">
        <f t="shared" si="4"/>
        <v>7</v>
      </c>
      <c r="AH10" s="5">
        <f t="shared" si="5"/>
        <v>7</v>
      </c>
      <c r="AI10" s="5">
        <f t="shared" si="6"/>
        <v>13</v>
      </c>
      <c r="AJ10" s="5">
        <f t="shared" si="7"/>
        <v>7</v>
      </c>
      <c r="AK10" s="5">
        <f t="shared" si="8"/>
        <v>4</v>
      </c>
      <c r="AL10" s="5">
        <f t="shared" si="9"/>
        <v>8</v>
      </c>
      <c r="AM10" s="5">
        <f t="shared" si="10"/>
        <v>7</v>
      </c>
      <c r="AN10" s="5">
        <f t="shared" si="11"/>
        <v>11</v>
      </c>
      <c r="AO10" s="5">
        <f t="shared" si="12"/>
        <v>7</v>
      </c>
      <c r="AP10" s="5">
        <f t="shared" si="13"/>
        <v>3</v>
      </c>
      <c r="AQ10" s="5">
        <f t="shared" si="14"/>
        <v>2</v>
      </c>
      <c r="AR10" s="5"/>
      <c r="AS10" s="5">
        <f t="shared" si="15"/>
        <v>4</v>
      </c>
      <c r="AT10" s="5">
        <f t="shared" si="16"/>
        <v>10</v>
      </c>
      <c r="AU10" s="5">
        <f t="shared" si="15"/>
        <v>6</v>
      </c>
      <c r="AV10" s="5">
        <f t="shared" si="17"/>
        <v>5</v>
      </c>
      <c r="AW10" s="5"/>
      <c r="AX10" s="5">
        <f t="shared" si="18"/>
        <v>9</v>
      </c>
      <c r="AY10" s="5">
        <f t="shared" si="19"/>
        <v>15</v>
      </c>
      <c r="AZ10" s="5">
        <f t="shared" si="19"/>
        <v>3</v>
      </c>
      <c r="BA10" s="5">
        <f t="shared" si="20"/>
        <v>1</v>
      </c>
    </row>
    <row r="11" spans="1:53" x14ac:dyDescent="0.25">
      <c r="A11" s="6" t="s">
        <v>48</v>
      </c>
      <c r="B11" s="8">
        <v>23.5</v>
      </c>
      <c r="C11" s="1">
        <v>24</v>
      </c>
      <c r="D11" s="1">
        <v>16</v>
      </c>
      <c r="E11" s="1">
        <v>20</v>
      </c>
      <c r="F11" s="1">
        <v>20</v>
      </c>
      <c r="G11" s="9">
        <v>-0.2</v>
      </c>
      <c r="H11" s="9">
        <v>-0.14000000000000001</v>
      </c>
      <c r="I11" s="9">
        <v>-0.34</v>
      </c>
      <c r="J11" s="9">
        <v>105.3</v>
      </c>
      <c r="K11" s="9">
        <v>105.6</v>
      </c>
      <c r="L11" s="9">
        <v>-0.3</v>
      </c>
      <c r="M11" s="9">
        <v>77.2</v>
      </c>
      <c r="N11" s="9">
        <v>0.38200000000000001</v>
      </c>
      <c r="O11" s="9">
        <v>0.3</v>
      </c>
      <c r="P11" s="9">
        <v>0.54400000000000004</v>
      </c>
      <c r="Q11" s="1"/>
      <c r="R11" s="9">
        <v>0.496</v>
      </c>
      <c r="S11" s="9">
        <v>16.5</v>
      </c>
      <c r="T11" s="9">
        <v>31.5</v>
      </c>
      <c r="U11" s="9">
        <v>0.28000000000000003</v>
      </c>
      <c r="V11" s="1"/>
      <c r="W11" s="9">
        <v>0.495</v>
      </c>
      <c r="X11" s="9">
        <v>13.4</v>
      </c>
      <c r="Y11" s="9">
        <v>78.3</v>
      </c>
      <c r="Z11" s="9">
        <v>0.217</v>
      </c>
      <c r="AA11" s="5"/>
      <c r="AB11" s="5"/>
      <c r="AC11" s="5">
        <f t="shared" si="1"/>
        <v>15</v>
      </c>
      <c r="AD11" s="5">
        <f t="shared" si="2"/>
        <v>6</v>
      </c>
      <c r="AE11" s="5">
        <f t="shared" si="3"/>
        <v>6</v>
      </c>
      <c r="AF11" s="5">
        <f t="shared" si="0"/>
        <v>8</v>
      </c>
      <c r="AG11" s="5">
        <f t="shared" si="4"/>
        <v>8</v>
      </c>
      <c r="AH11" s="5">
        <f t="shared" si="5"/>
        <v>8</v>
      </c>
      <c r="AI11" s="5">
        <f t="shared" si="6"/>
        <v>11</v>
      </c>
      <c r="AJ11" s="5">
        <f t="shared" si="7"/>
        <v>8</v>
      </c>
      <c r="AK11" s="5">
        <f t="shared" si="8"/>
        <v>13</v>
      </c>
      <c r="AL11" s="5">
        <f t="shared" si="9"/>
        <v>3</v>
      </c>
      <c r="AM11" s="5">
        <f t="shared" si="10"/>
        <v>8</v>
      </c>
      <c r="AN11" s="5">
        <f t="shared" si="11"/>
        <v>14</v>
      </c>
      <c r="AO11" s="5">
        <f t="shared" si="12"/>
        <v>1</v>
      </c>
      <c r="AP11" s="5">
        <f t="shared" si="13"/>
        <v>14</v>
      </c>
      <c r="AQ11" s="5">
        <f t="shared" si="14"/>
        <v>11</v>
      </c>
      <c r="AR11" s="5"/>
      <c r="AS11" s="5">
        <f t="shared" si="15"/>
        <v>12</v>
      </c>
      <c r="AT11" s="5">
        <f t="shared" si="16"/>
        <v>15</v>
      </c>
      <c r="AU11" s="5">
        <f t="shared" si="15"/>
        <v>1</v>
      </c>
      <c r="AV11" s="5">
        <f t="shared" si="17"/>
        <v>1</v>
      </c>
      <c r="AW11" s="5"/>
      <c r="AX11" s="5">
        <f t="shared" si="18"/>
        <v>2</v>
      </c>
      <c r="AY11" s="5">
        <f t="shared" si="19"/>
        <v>12</v>
      </c>
      <c r="AZ11" s="5">
        <f t="shared" si="19"/>
        <v>2</v>
      </c>
      <c r="BA11" s="5">
        <f t="shared" si="20"/>
        <v>3</v>
      </c>
    </row>
    <row r="12" spans="1:53" x14ac:dyDescent="0.25">
      <c r="A12" s="6" t="s">
        <v>49</v>
      </c>
      <c r="B12" s="8">
        <v>29</v>
      </c>
      <c r="C12" s="1">
        <v>15</v>
      </c>
      <c r="D12" s="1">
        <v>25</v>
      </c>
      <c r="E12" s="1">
        <v>15</v>
      </c>
      <c r="F12" s="1">
        <v>25</v>
      </c>
      <c r="G12" s="9">
        <v>-3</v>
      </c>
      <c r="H12" s="9">
        <v>0.14000000000000001</v>
      </c>
      <c r="I12" s="9">
        <v>-2.86</v>
      </c>
      <c r="J12" s="9">
        <v>105.5</v>
      </c>
      <c r="K12" s="9">
        <v>109.1</v>
      </c>
      <c r="L12" s="9">
        <v>-3.6</v>
      </c>
      <c r="M12" s="9">
        <v>81.7</v>
      </c>
      <c r="N12" s="9">
        <v>0.33100000000000002</v>
      </c>
      <c r="O12" s="9">
        <v>0.33400000000000002</v>
      </c>
      <c r="P12" s="9">
        <v>0.54200000000000004</v>
      </c>
      <c r="Q12" s="1"/>
      <c r="R12" s="9">
        <v>0.49399999999999999</v>
      </c>
      <c r="S12" s="9">
        <v>13.6</v>
      </c>
      <c r="T12" s="9">
        <v>22.2</v>
      </c>
      <c r="U12" s="9">
        <v>0.254</v>
      </c>
      <c r="V12" s="1"/>
      <c r="W12" s="9">
        <v>0.501</v>
      </c>
      <c r="X12" s="9">
        <v>13.7</v>
      </c>
      <c r="Y12" s="9">
        <v>73.599999999999994</v>
      </c>
      <c r="Z12" s="9">
        <v>0.26500000000000001</v>
      </c>
      <c r="AA12" s="5"/>
      <c r="AB12" s="5"/>
      <c r="AC12" s="5">
        <f t="shared" si="1"/>
        <v>6</v>
      </c>
      <c r="AD12" s="5">
        <f t="shared" si="2"/>
        <v>10</v>
      </c>
      <c r="AE12" s="5">
        <f t="shared" si="3"/>
        <v>10</v>
      </c>
      <c r="AF12" s="5">
        <f t="shared" si="0"/>
        <v>9</v>
      </c>
      <c r="AG12" s="5">
        <f t="shared" si="4"/>
        <v>9</v>
      </c>
      <c r="AH12" s="5">
        <f t="shared" si="5"/>
        <v>9</v>
      </c>
      <c r="AI12" s="5">
        <f t="shared" si="6"/>
        <v>5</v>
      </c>
      <c r="AJ12" s="5">
        <f t="shared" si="7"/>
        <v>9</v>
      </c>
      <c r="AK12" s="5">
        <f t="shared" si="8"/>
        <v>12</v>
      </c>
      <c r="AL12" s="5">
        <f t="shared" si="9"/>
        <v>7</v>
      </c>
      <c r="AM12" s="5">
        <f t="shared" si="10"/>
        <v>9</v>
      </c>
      <c r="AN12" s="5">
        <f t="shared" si="11"/>
        <v>1</v>
      </c>
      <c r="AO12" s="5">
        <f t="shared" si="12"/>
        <v>4</v>
      </c>
      <c r="AP12" s="5">
        <f t="shared" si="13"/>
        <v>13</v>
      </c>
      <c r="AQ12" s="5">
        <f t="shared" si="14"/>
        <v>13</v>
      </c>
      <c r="AR12" s="5"/>
      <c r="AS12" s="5">
        <f t="shared" ref="AS12:AS18" si="21">RANK(R12,R$4:R$18,0)</f>
        <v>13</v>
      </c>
      <c r="AT12" s="5">
        <f t="shared" si="16"/>
        <v>4</v>
      </c>
      <c r="AU12" s="5">
        <f t="shared" ref="AU12:AU18" si="22">RANK(T12,T$4:T$18,0)</f>
        <v>13</v>
      </c>
      <c r="AV12" s="5">
        <f t="shared" si="17"/>
        <v>6</v>
      </c>
      <c r="AW12" s="5"/>
      <c r="AX12" s="5">
        <f t="shared" si="18"/>
        <v>5</v>
      </c>
      <c r="AY12" s="5">
        <f t="shared" si="19"/>
        <v>10</v>
      </c>
      <c r="AZ12" s="5">
        <f t="shared" si="19"/>
        <v>10</v>
      </c>
      <c r="BA12" s="5">
        <f t="shared" si="20"/>
        <v>12</v>
      </c>
    </row>
    <row r="13" spans="1:53" x14ac:dyDescent="0.25">
      <c r="A13" s="6" t="s">
        <v>50</v>
      </c>
      <c r="B13" s="8">
        <v>30.6</v>
      </c>
      <c r="C13" s="1">
        <v>14</v>
      </c>
      <c r="D13" s="1">
        <v>26</v>
      </c>
      <c r="E13" s="1">
        <v>15</v>
      </c>
      <c r="F13" s="1">
        <v>25</v>
      </c>
      <c r="G13" s="9">
        <v>-3.15</v>
      </c>
      <c r="H13" s="9">
        <v>0.04</v>
      </c>
      <c r="I13" s="9">
        <v>-3.04</v>
      </c>
      <c r="J13" s="9">
        <v>106.3</v>
      </c>
      <c r="K13" s="9">
        <v>110.2</v>
      </c>
      <c r="L13" s="9">
        <v>-3.9</v>
      </c>
      <c r="M13" s="9">
        <v>79</v>
      </c>
      <c r="N13" s="9">
        <v>0.34899999999999998</v>
      </c>
      <c r="O13" s="9">
        <v>0.36699999999999999</v>
      </c>
      <c r="P13" s="9">
        <v>0.55600000000000005</v>
      </c>
      <c r="Q13" s="1"/>
      <c r="R13" s="9">
        <v>0.505</v>
      </c>
      <c r="S13" s="9">
        <v>14.6</v>
      </c>
      <c r="T13" s="9">
        <v>20.8</v>
      </c>
      <c r="U13" s="9">
        <v>0.27400000000000002</v>
      </c>
      <c r="V13" s="1"/>
      <c r="W13" s="9">
        <v>0.53400000000000003</v>
      </c>
      <c r="X13" s="9">
        <v>14.6</v>
      </c>
      <c r="Y13" s="9">
        <v>76</v>
      </c>
      <c r="Z13" s="9">
        <v>0.22</v>
      </c>
      <c r="AA13" s="5"/>
      <c r="AB13" s="5"/>
      <c r="AC13" s="5">
        <f t="shared" si="1"/>
        <v>1</v>
      </c>
      <c r="AD13" s="5">
        <f t="shared" si="2"/>
        <v>12</v>
      </c>
      <c r="AE13" s="5">
        <f t="shared" si="3"/>
        <v>12</v>
      </c>
      <c r="AF13" s="5">
        <f t="shared" si="0"/>
        <v>9</v>
      </c>
      <c r="AG13" s="5">
        <f t="shared" si="4"/>
        <v>9</v>
      </c>
      <c r="AH13" s="5">
        <f t="shared" si="5"/>
        <v>10</v>
      </c>
      <c r="AI13" s="5">
        <f t="shared" si="6"/>
        <v>7</v>
      </c>
      <c r="AJ13" s="5">
        <f t="shared" si="7"/>
        <v>10</v>
      </c>
      <c r="AK13" s="5">
        <f t="shared" si="8"/>
        <v>11</v>
      </c>
      <c r="AL13" s="5">
        <f t="shared" si="9"/>
        <v>10</v>
      </c>
      <c r="AM13" s="5">
        <f t="shared" si="10"/>
        <v>10</v>
      </c>
      <c r="AN13" s="5">
        <f t="shared" si="11"/>
        <v>10</v>
      </c>
      <c r="AO13" s="5">
        <f t="shared" si="12"/>
        <v>2</v>
      </c>
      <c r="AP13" s="5">
        <f t="shared" si="13"/>
        <v>9</v>
      </c>
      <c r="AQ13" s="5">
        <f t="shared" si="14"/>
        <v>9</v>
      </c>
      <c r="AR13" s="5"/>
      <c r="AS13" s="5">
        <f t="shared" si="21"/>
        <v>9</v>
      </c>
      <c r="AT13" s="5">
        <f t="shared" si="16"/>
        <v>8</v>
      </c>
      <c r="AU13" s="5">
        <f t="shared" si="22"/>
        <v>15</v>
      </c>
      <c r="AV13" s="5">
        <f t="shared" si="17"/>
        <v>2</v>
      </c>
      <c r="AW13" s="5"/>
      <c r="AX13" s="5">
        <f t="shared" si="18"/>
        <v>12</v>
      </c>
      <c r="AY13" s="5">
        <f t="shared" si="19"/>
        <v>7</v>
      </c>
      <c r="AZ13" s="5">
        <f t="shared" si="19"/>
        <v>4</v>
      </c>
      <c r="BA13" s="5">
        <f t="shared" si="20"/>
        <v>6</v>
      </c>
    </row>
    <row r="14" spans="1:53" x14ac:dyDescent="0.25">
      <c r="A14" s="6" t="s">
        <v>53</v>
      </c>
      <c r="B14" s="8">
        <v>29.7</v>
      </c>
      <c r="C14" s="1">
        <v>15</v>
      </c>
      <c r="D14" s="1">
        <v>25</v>
      </c>
      <c r="E14" s="1">
        <v>13</v>
      </c>
      <c r="F14" s="1">
        <v>27</v>
      </c>
      <c r="G14" s="9">
        <v>-4.45</v>
      </c>
      <c r="H14" s="9">
        <v>0.08</v>
      </c>
      <c r="I14" s="9">
        <v>-4.37</v>
      </c>
      <c r="J14" s="9">
        <v>106.9</v>
      </c>
      <c r="K14" s="9">
        <v>112.4</v>
      </c>
      <c r="L14" s="9">
        <v>-5.5</v>
      </c>
      <c r="M14" s="9">
        <v>81.400000000000006</v>
      </c>
      <c r="N14" s="9">
        <v>0.28899999999999998</v>
      </c>
      <c r="O14" s="9">
        <v>0.38200000000000001</v>
      </c>
      <c r="P14" s="9">
        <v>0.56899999999999995</v>
      </c>
      <c r="Q14" s="1"/>
      <c r="R14" s="9">
        <v>0.52800000000000002</v>
      </c>
      <c r="S14" s="9">
        <v>15.9</v>
      </c>
      <c r="T14" s="9">
        <v>22</v>
      </c>
      <c r="U14" s="9">
        <v>0.22600000000000001</v>
      </c>
      <c r="V14" s="1"/>
      <c r="W14" s="9">
        <v>0.53700000000000003</v>
      </c>
      <c r="X14" s="9">
        <v>15</v>
      </c>
      <c r="Y14" s="9">
        <v>71.3</v>
      </c>
      <c r="Z14" s="9">
        <v>0.219</v>
      </c>
      <c r="AA14" s="5"/>
      <c r="AB14" s="5"/>
      <c r="AC14" s="5">
        <f t="shared" si="1"/>
        <v>2</v>
      </c>
      <c r="AD14" s="5">
        <f t="shared" si="2"/>
        <v>10</v>
      </c>
      <c r="AE14" s="5">
        <f t="shared" si="3"/>
        <v>10</v>
      </c>
      <c r="AF14" s="5">
        <f t="shared" si="0"/>
        <v>11</v>
      </c>
      <c r="AG14" s="5">
        <f t="shared" si="4"/>
        <v>11</v>
      </c>
      <c r="AH14" s="5">
        <f t="shared" si="5"/>
        <v>11</v>
      </c>
      <c r="AI14" s="5">
        <f t="shared" si="6"/>
        <v>6</v>
      </c>
      <c r="AJ14" s="5">
        <f t="shared" si="7"/>
        <v>12</v>
      </c>
      <c r="AK14" s="5">
        <f t="shared" si="8"/>
        <v>10</v>
      </c>
      <c r="AL14" s="5">
        <f t="shared" si="9"/>
        <v>13</v>
      </c>
      <c r="AM14" s="5">
        <f t="shared" si="10"/>
        <v>11</v>
      </c>
      <c r="AN14" s="5">
        <f t="shared" si="11"/>
        <v>2</v>
      </c>
      <c r="AO14" s="5">
        <f t="shared" si="12"/>
        <v>10</v>
      </c>
      <c r="AP14" s="5">
        <f t="shared" si="13"/>
        <v>6</v>
      </c>
      <c r="AQ14" s="5">
        <f t="shared" si="14"/>
        <v>5</v>
      </c>
      <c r="AR14" s="5"/>
      <c r="AS14" s="5">
        <f t="shared" si="21"/>
        <v>5</v>
      </c>
      <c r="AT14" s="5">
        <f t="shared" si="16"/>
        <v>14</v>
      </c>
      <c r="AU14" s="5">
        <f t="shared" si="22"/>
        <v>14</v>
      </c>
      <c r="AV14" s="5">
        <f t="shared" si="17"/>
        <v>9</v>
      </c>
      <c r="AW14" s="5"/>
      <c r="AX14" s="5">
        <f t="shared" si="18"/>
        <v>13</v>
      </c>
      <c r="AY14" s="5">
        <f t="shared" si="19"/>
        <v>5</v>
      </c>
      <c r="AZ14" s="5">
        <f t="shared" si="19"/>
        <v>13</v>
      </c>
      <c r="BA14" s="5">
        <f t="shared" si="20"/>
        <v>4</v>
      </c>
    </row>
    <row r="15" spans="1:53" x14ac:dyDescent="0.25">
      <c r="A15" s="6" t="s">
        <v>51</v>
      </c>
      <c r="B15" s="8">
        <v>25.9</v>
      </c>
      <c r="C15" s="1">
        <v>16</v>
      </c>
      <c r="D15" s="1">
        <v>24</v>
      </c>
      <c r="E15" s="1">
        <v>13</v>
      </c>
      <c r="F15" s="1">
        <v>27</v>
      </c>
      <c r="G15" s="9">
        <v>-4.4800000000000004</v>
      </c>
      <c r="H15" s="9">
        <v>0.19</v>
      </c>
      <c r="I15" s="9">
        <v>-4.28</v>
      </c>
      <c r="J15" s="9">
        <v>108.9</v>
      </c>
      <c r="K15" s="9">
        <v>114.6</v>
      </c>
      <c r="L15" s="9">
        <v>-5.7</v>
      </c>
      <c r="M15" s="9">
        <v>78.5</v>
      </c>
      <c r="N15" s="9">
        <v>0.26500000000000001</v>
      </c>
      <c r="O15" s="9">
        <v>0.436</v>
      </c>
      <c r="P15" s="9">
        <v>0.56899999999999995</v>
      </c>
      <c r="Q15" s="1"/>
      <c r="R15" s="9">
        <v>0.52800000000000002</v>
      </c>
      <c r="S15" s="9">
        <v>15.6</v>
      </c>
      <c r="T15" s="9">
        <v>24.5</v>
      </c>
      <c r="U15" s="9">
        <v>0.215</v>
      </c>
      <c r="V15" s="1"/>
      <c r="W15" s="9">
        <v>0.53100000000000003</v>
      </c>
      <c r="X15" s="9">
        <v>14.7</v>
      </c>
      <c r="Y15" s="9">
        <v>69.8</v>
      </c>
      <c r="Z15" s="9">
        <v>0.27700000000000002</v>
      </c>
      <c r="AA15" s="5"/>
      <c r="AB15" s="5"/>
      <c r="AC15" s="5">
        <f t="shared" si="1"/>
        <v>12</v>
      </c>
      <c r="AD15" s="5">
        <f t="shared" si="2"/>
        <v>9</v>
      </c>
      <c r="AE15" s="5">
        <f t="shared" si="3"/>
        <v>9</v>
      </c>
      <c r="AF15" s="5">
        <f t="shared" si="0"/>
        <v>11</v>
      </c>
      <c r="AG15" s="5">
        <f t="shared" si="4"/>
        <v>11</v>
      </c>
      <c r="AH15" s="5">
        <f t="shared" si="5"/>
        <v>12</v>
      </c>
      <c r="AI15" s="5">
        <f t="shared" si="6"/>
        <v>3</v>
      </c>
      <c r="AJ15" s="5">
        <f t="shared" si="7"/>
        <v>11</v>
      </c>
      <c r="AK15" s="5">
        <f t="shared" si="8"/>
        <v>8</v>
      </c>
      <c r="AL15" s="5">
        <f t="shared" si="9"/>
        <v>14</v>
      </c>
      <c r="AM15" s="5">
        <f t="shared" si="10"/>
        <v>12</v>
      </c>
      <c r="AN15" s="5">
        <f t="shared" si="11"/>
        <v>12</v>
      </c>
      <c r="AO15" s="5">
        <f t="shared" si="12"/>
        <v>13</v>
      </c>
      <c r="AP15" s="5">
        <f t="shared" si="13"/>
        <v>2</v>
      </c>
      <c r="AQ15" s="5">
        <f t="shared" si="14"/>
        <v>5</v>
      </c>
      <c r="AR15" s="5"/>
      <c r="AS15" s="5">
        <f t="shared" si="21"/>
        <v>5</v>
      </c>
      <c r="AT15" s="5">
        <f t="shared" si="16"/>
        <v>13</v>
      </c>
      <c r="AU15" s="5">
        <f t="shared" si="22"/>
        <v>10</v>
      </c>
      <c r="AV15" s="5">
        <f t="shared" si="17"/>
        <v>12</v>
      </c>
      <c r="AW15" s="5"/>
      <c r="AX15" s="5">
        <f t="shared" si="18"/>
        <v>10</v>
      </c>
      <c r="AY15" s="5">
        <f t="shared" si="19"/>
        <v>6</v>
      </c>
      <c r="AZ15" s="5">
        <f t="shared" si="19"/>
        <v>15</v>
      </c>
      <c r="BA15" s="5">
        <f t="shared" si="20"/>
        <v>14</v>
      </c>
    </row>
    <row r="16" spans="1:53" x14ac:dyDescent="0.25">
      <c r="A16" s="6" t="s">
        <v>52</v>
      </c>
      <c r="B16" s="8">
        <v>24.8</v>
      </c>
      <c r="C16" s="1">
        <v>8</v>
      </c>
      <c r="D16" s="1">
        <v>32</v>
      </c>
      <c r="E16" s="1">
        <v>12</v>
      </c>
      <c r="F16" s="1">
        <v>28</v>
      </c>
      <c r="G16" s="9">
        <v>-5.35</v>
      </c>
      <c r="H16" s="9">
        <v>-0.08</v>
      </c>
      <c r="I16" s="9">
        <v>-5.43</v>
      </c>
      <c r="J16" s="9">
        <v>102.8</v>
      </c>
      <c r="K16" s="9">
        <v>109.5</v>
      </c>
      <c r="L16" s="9">
        <v>-6.7</v>
      </c>
      <c r="M16" s="9">
        <v>80.3</v>
      </c>
      <c r="N16" s="9">
        <v>0.27100000000000002</v>
      </c>
      <c r="O16" s="9">
        <v>0.38</v>
      </c>
      <c r="P16" s="9">
        <v>0.53100000000000003</v>
      </c>
      <c r="Q16" s="1"/>
      <c r="R16" s="9">
        <v>0.48599999999999999</v>
      </c>
      <c r="S16" s="9">
        <v>15.3</v>
      </c>
      <c r="T16" s="9">
        <v>24.5</v>
      </c>
      <c r="U16" s="9">
        <v>0.216</v>
      </c>
      <c r="V16" s="1"/>
      <c r="W16" s="9">
        <v>0.495</v>
      </c>
      <c r="X16" s="9">
        <v>13.8</v>
      </c>
      <c r="Y16" s="9">
        <v>72.3</v>
      </c>
      <c r="Z16" s="9">
        <v>0.26500000000000001</v>
      </c>
      <c r="AA16" s="5"/>
      <c r="AB16" s="5"/>
      <c r="AC16" s="5">
        <f t="shared" si="1"/>
        <v>13</v>
      </c>
      <c r="AD16" s="5">
        <f t="shared" si="2"/>
        <v>15</v>
      </c>
      <c r="AE16" s="5">
        <f t="shared" si="3"/>
        <v>15</v>
      </c>
      <c r="AF16" s="5">
        <f t="shared" si="0"/>
        <v>13</v>
      </c>
      <c r="AG16" s="5">
        <f t="shared" si="4"/>
        <v>13</v>
      </c>
      <c r="AH16" s="5">
        <f t="shared" si="5"/>
        <v>13</v>
      </c>
      <c r="AI16" s="5">
        <f t="shared" si="6"/>
        <v>10</v>
      </c>
      <c r="AJ16" s="5">
        <f t="shared" si="7"/>
        <v>13</v>
      </c>
      <c r="AK16" s="5">
        <f t="shared" si="8"/>
        <v>14</v>
      </c>
      <c r="AL16" s="5">
        <f t="shared" si="9"/>
        <v>9</v>
      </c>
      <c r="AM16" s="5">
        <f t="shared" si="10"/>
        <v>13</v>
      </c>
      <c r="AN16" s="5">
        <f t="shared" si="11"/>
        <v>5</v>
      </c>
      <c r="AO16" s="5">
        <f t="shared" si="12"/>
        <v>11</v>
      </c>
      <c r="AP16" s="5">
        <f t="shared" si="13"/>
        <v>7</v>
      </c>
      <c r="AQ16" s="5">
        <f t="shared" si="14"/>
        <v>14</v>
      </c>
      <c r="AR16" s="5"/>
      <c r="AS16" s="5">
        <f t="shared" si="21"/>
        <v>14</v>
      </c>
      <c r="AT16" s="5">
        <f t="shared" si="16"/>
        <v>11</v>
      </c>
      <c r="AU16" s="5">
        <f t="shared" si="22"/>
        <v>10</v>
      </c>
      <c r="AV16" s="5">
        <f t="shared" si="17"/>
        <v>11</v>
      </c>
      <c r="AW16" s="5"/>
      <c r="AX16" s="5">
        <f t="shared" si="18"/>
        <v>2</v>
      </c>
      <c r="AY16" s="5">
        <f t="shared" si="19"/>
        <v>9</v>
      </c>
      <c r="AZ16" s="5">
        <f t="shared" si="19"/>
        <v>12</v>
      </c>
      <c r="BA16" s="5">
        <f t="shared" si="20"/>
        <v>12</v>
      </c>
    </row>
    <row r="17" spans="1:53" x14ac:dyDescent="0.25">
      <c r="A17" s="6" t="s">
        <v>54</v>
      </c>
      <c r="B17" s="8">
        <v>28.3</v>
      </c>
      <c r="C17" s="1">
        <v>11</v>
      </c>
      <c r="D17" s="1">
        <v>29</v>
      </c>
      <c r="E17" s="1">
        <v>9</v>
      </c>
      <c r="F17" s="1">
        <v>31</v>
      </c>
      <c r="G17" s="9">
        <v>-7.55</v>
      </c>
      <c r="H17" s="9">
        <v>0.7</v>
      </c>
      <c r="I17" s="9">
        <v>-6.85</v>
      </c>
      <c r="J17" s="9">
        <v>108.2</v>
      </c>
      <c r="K17" s="9">
        <v>117.7</v>
      </c>
      <c r="L17" s="9">
        <v>-9.5</v>
      </c>
      <c r="M17" s="9">
        <v>79.400000000000006</v>
      </c>
      <c r="N17" s="9">
        <v>0.308</v>
      </c>
      <c r="O17" s="9">
        <v>0.41299999999999998</v>
      </c>
      <c r="P17" s="9">
        <v>0.56000000000000005</v>
      </c>
      <c r="Q17" s="1"/>
      <c r="R17" s="9">
        <v>0.51200000000000001</v>
      </c>
      <c r="S17" s="9">
        <v>15.3</v>
      </c>
      <c r="T17" s="9">
        <v>25.5</v>
      </c>
      <c r="U17" s="9">
        <v>0.249</v>
      </c>
      <c r="V17" s="1"/>
      <c r="W17" s="9">
        <v>0.53900000000000003</v>
      </c>
      <c r="X17" s="9">
        <v>13</v>
      </c>
      <c r="Y17" s="9">
        <v>70</v>
      </c>
      <c r="Z17" s="9">
        <v>0.249</v>
      </c>
      <c r="AA17" s="5"/>
      <c r="AB17" s="5"/>
      <c r="AC17" s="5">
        <f t="shared" si="1"/>
        <v>8</v>
      </c>
      <c r="AD17" s="5">
        <f t="shared" si="2"/>
        <v>13</v>
      </c>
      <c r="AE17" s="5">
        <f t="shared" si="3"/>
        <v>13</v>
      </c>
      <c r="AF17" s="5">
        <f t="shared" si="0"/>
        <v>14</v>
      </c>
      <c r="AG17" s="5">
        <f t="shared" si="4"/>
        <v>14</v>
      </c>
      <c r="AH17" s="5">
        <f t="shared" si="5"/>
        <v>14</v>
      </c>
      <c r="AI17" s="5">
        <f t="shared" si="6"/>
        <v>1</v>
      </c>
      <c r="AJ17" s="5">
        <f t="shared" si="7"/>
        <v>14</v>
      </c>
      <c r="AK17" s="5">
        <f t="shared" si="8"/>
        <v>9</v>
      </c>
      <c r="AL17" s="5">
        <f t="shared" si="9"/>
        <v>15</v>
      </c>
      <c r="AM17" s="5">
        <f t="shared" si="10"/>
        <v>14</v>
      </c>
      <c r="AN17" s="5">
        <f t="shared" si="11"/>
        <v>6</v>
      </c>
      <c r="AO17" s="5">
        <f t="shared" si="12"/>
        <v>8</v>
      </c>
      <c r="AP17" s="5">
        <f t="shared" si="13"/>
        <v>4</v>
      </c>
      <c r="AQ17" s="5">
        <f t="shared" si="14"/>
        <v>8</v>
      </c>
      <c r="AR17" s="5"/>
      <c r="AS17" s="5">
        <f t="shared" si="21"/>
        <v>8</v>
      </c>
      <c r="AT17" s="5">
        <f t="shared" si="16"/>
        <v>11</v>
      </c>
      <c r="AU17" s="5">
        <f t="shared" si="22"/>
        <v>7</v>
      </c>
      <c r="AV17" s="5">
        <f t="shared" si="17"/>
        <v>7</v>
      </c>
      <c r="AW17" s="5"/>
      <c r="AX17" s="5">
        <f t="shared" si="18"/>
        <v>14</v>
      </c>
      <c r="AY17" s="5">
        <f t="shared" si="19"/>
        <v>14</v>
      </c>
      <c r="AZ17" s="5">
        <f t="shared" si="19"/>
        <v>14</v>
      </c>
      <c r="BA17" s="5">
        <f t="shared" si="20"/>
        <v>10</v>
      </c>
    </row>
    <row r="18" spans="1:53" x14ac:dyDescent="0.25">
      <c r="A18" s="6" t="s">
        <v>55</v>
      </c>
      <c r="B18" s="1">
        <v>24.6</v>
      </c>
      <c r="C18" s="1">
        <v>10</v>
      </c>
      <c r="D18" s="1">
        <v>30</v>
      </c>
      <c r="E18" s="1">
        <v>7</v>
      </c>
      <c r="F18" s="1">
        <v>33</v>
      </c>
      <c r="G18" s="9">
        <v>-8.75</v>
      </c>
      <c r="H18" s="9">
        <v>0.42</v>
      </c>
      <c r="I18" s="9">
        <v>-8.4</v>
      </c>
      <c r="J18" s="9">
        <v>99.4</v>
      </c>
      <c r="K18" s="9">
        <v>110.4</v>
      </c>
      <c r="L18" s="9">
        <v>-11</v>
      </c>
      <c r="M18" s="9">
        <v>79.2</v>
      </c>
      <c r="N18" s="9">
        <v>0.31</v>
      </c>
      <c r="O18" s="9">
        <v>0.28899999999999998</v>
      </c>
      <c r="P18" s="9">
        <v>0.50700000000000001</v>
      </c>
      <c r="Q18" s="1"/>
      <c r="R18" s="9">
        <v>0.46500000000000002</v>
      </c>
      <c r="S18" s="9">
        <v>14.8</v>
      </c>
      <c r="T18" s="9">
        <v>26.2</v>
      </c>
      <c r="U18" s="9">
        <v>0.22</v>
      </c>
      <c r="V18" s="1"/>
      <c r="W18" s="9">
        <v>0.53200000000000003</v>
      </c>
      <c r="X18" s="9">
        <v>15.7</v>
      </c>
      <c r="Y18" s="9">
        <v>75</v>
      </c>
      <c r="Z18" s="9">
        <v>0.28799999999999998</v>
      </c>
      <c r="AA18" s="5"/>
      <c r="AB18" s="5"/>
      <c r="AC18" s="5">
        <f t="shared" si="1"/>
        <v>14</v>
      </c>
      <c r="AD18" s="5">
        <f t="shared" si="2"/>
        <v>14</v>
      </c>
      <c r="AE18" s="5">
        <f t="shared" si="3"/>
        <v>14</v>
      </c>
      <c r="AF18" s="5">
        <f t="shared" si="0"/>
        <v>15</v>
      </c>
      <c r="AG18" s="5">
        <f t="shared" si="4"/>
        <v>15</v>
      </c>
      <c r="AH18" s="5">
        <f t="shared" si="5"/>
        <v>15</v>
      </c>
      <c r="AI18" s="5">
        <f t="shared" si="6"/>
        <v>2</v>
      </c>
      <c r="AJ18" s="5">
        <f t="shared" si="7"/>
        <v>15</v>
      </c>
      <c r="AK18" s="5">
        <f t="shared" si="8"/>
        <v>15</v>
      </c>
      <c r="AL18" s="5">
        <f t="shared" si="9"/>
        <v>11</v>
      </c>
      <c r="AM18" s="5">
        <f t="shared" si="10"/>
        <v>15</v>
      </c>
      <c r="AN18" s="5">
        <f t="shared" si="11"/>
        <v>8</v>
      </c>
      <c r="AO18" s="5">
        <f t="shared" si="12"/>
        <v>6</v>
      </c>
      <c r="AP18" s="5">
        <f t="shared" si="13"/>
        <v>15</v>
      </c>
      <c r="AQ18" s="5">
        <f t="shared" si="14"/>
        <v>15</v>
      </c>
      <c r="AR18" s="5"/>
      <c r="AS18" s="5">
        <f t="shared" si="21"/>
        <v>15</v>
      </c>
      <c r="AT18" s="5">
        <f t="shared" si="16"/>
        <v>9</v>
      </c>
      <c r="AU18" s="5">
        <f t="shared" si="22"/>
        <v>5</v>
      </c>
      <c r="AV18" s="5">
        <f t="shared" si="17"/>
        <v>10</v>
      </c>
      <c r="AW18" s="5"/>
      <c r="AX18" s="5">
        <f t="shared" si="18"/>
        <v>11</v>
      </c>
      <c r="AY18" s="5">
        <f t="shared" si="19"/>
        <v>4</v>
      </c>
      <c r="AZ18" s="5">
        <f t="shared" si="19"/>
        <v>9</v>
      </c>
      <c r="BA18" s="5">
        <f t="shared" si="20"/>
        <v>15</v>
      </c>
    </row>
    <row r="19" spans="1:53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25">
      <c r="A24" s="6" t="s">
        <v>41</v>
      </c>
      <c r="B24" s="9">
        <f>AVERAGE(B4:B22)</f>
        <v>27.586666666666666</v>
      </c>
      <c r="C24" s="9">
        <f t="shared" ref="C24:Z24" si="23">AVERAGE(C4:C22)</f>
        <v>20</v>
      </c>
      <c r="D24" s="9">
        <f t="shared" si="23"/>
        <v>20</v>
      </c>
      <c r="E24" s="9">
        <f t="shared" si="23"/>
        <v>19.933333333333334</v>
      </c>
      <c r="F24" s="9">
        <f t="shared" si="23"/>
        <v>20.066666666666666</v>
      </c>
      <c r="G24" s="9">
        <f t="shared" si="23"/>
        <v>6.6666666666582346E-4</v>
      </c>
      <c r="H24" s="9">
        <f t="shared" si="23"/>
        <v>6.6666666666667098E-4</v>
      </c>
      <c r="I24" s="9">
        <f t="shared" si="23"/>
        <v>6.6666666666629715E-4</v>
      </c>
      <c r="J24" s="9">
        <f t="shared" si="23"/>
        <v>109.28666666666669</v>
      </c>
      <c r="K24" s="9">
        <f t="shared" si="23"/>
        <v>109.24666666666667</v>
      </c>
      <c r="L24" s="9">
        <f t="shared" si="23"/>
        <v>4.000000000000057E-2</v>
      </c>
      <c r="M24" s="9">
        <f t="shared" si="23"/>
        <v>79.253333333333345</v>
      </c>
      <c r="N24" s="9">
        <f t="shared" si="23"/>
        <v>0.30359999999999998</v>
      </c>
      <c r="O24" s="9">
        <f t="shared" si="23"/>
        <v>0.37119999999999997</v>
      </c>
      <c r="P24" s="9">
        <f t="shared" si="23"/>
        <v>0.5603999999999999</v>
      </c>
      <c r="Q24" s="9"/>
      <c r="R24" s="9">
        <f t="shared" si="23"/>
        <v>0.51573333333333327</v>
      </c>
      <c r="S24" s="9">
        <f t="shared" si="23"/>
        <v>14.40666666666667</v>
      </c>
      <c r="T24" s="9">
        <f t="shared" si="23"/>
        <v>25.566666666666666</v>
      </c>
      <c r="U24" s="9">
        <f t="shared" si="23"/>
        <v>0.23906666666666668</v>
      </c>
      <c r="V24" s="9"/>
      <c r="W24" s="9">
        <f t="shared" si="23"/>
        <v>0.51573333333333327</v>
      </c>
      <c r="X24" s="9">
        <f t="shared" si="23"/>
        <v>14.426666666666666</v>
      </c>
      <c r="Y24" s="9">
        <f t="shared" si="23"/>
        <v>74.453333333333319</v>
      </c>
      <c r="Z24" s="9">
        <f t="shared" si="23"/>
        <v>0.23893333333333336</v>
      </c>
      <c r="AA24" s="5"/>
      <c r="AB24" s="5"/>
    </row>
    <row r="25" spans="1:53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8 AF4:AF18 AG4:AG18 AL4:AL18 AT4:AT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B1" s="18" t="s">
        <v>57</v>
      </c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</row>
    <row r="2" spans="1:48" ht="26.25" x14ac:dyDescent="0.4">
      <c r="A2" s="11"/>
      <c r="B2" s="14"/>
      <c r="C2" s="14"/>
      <c r="D2" s="14"/>
      <c r="E2" s="14"/>
      <c r="F2" s="14"/>
      <c r="G2" s="17" t="s">
        <v>37</v>
      </c>
      <c r="H2" s="17"/>
      <c r="I2" s="17"/>
      <c r="J2" s="17"/>
      <c r="K2" s="17"/>
      <c r="L2" s="17"/>
      <c r="M2" s="14"/>
      <c r="N2" s="17" t="s">
        <v>38</v>
      </c>
      <c r="O2" s="17"/>
      <c r="P2" s="17"/>
      <c r="Q2" s="17"/>
      <c r="R2" s="17"/>
      <c r="S2" s="17"/>
      <c r="T2" s="14"/>
      <c r="U2" s="17" t="s">
        <v>39</v>
      </c>
      <c r="V2" s="17"/>
      <c r="W2" s="14"/>
      <c r="X2" s="17" t="s">
        <v>40</v>
      </c>
      <c r="Y2" s="17"/>
      <c r="AB2" s="16"/>
      <c r="AC2" s="16"/>
      <c r="AD2" s="17" t="s">
        <v>37</v>
      </c>
      <c r="AE2" s="17"/>
      <c r="AF2" s="17"/>
      <c r="AG2" s="17"/>
      <c r="AH2" s="17"/>
      <c r="AI2" s="17"/>
      <c r="AJ2" s="12"/>
      <c r="AK2" s="17" t="s">
        <v>38</v>
      </c>
      <c r="AL2" s="17"/>
      <c r="AM2" s="17"/>
      <c r="AN2" s="17"/>
      <c r="AO2" s="17"/>
      <c r="AP2" s="17"/>
      <c r="AQ2" s="12"/>
      <c r="AR2" s="17" t="s">
        <v>39</v>
      </c>
      <c r="AS2" s="17"/>
      <c r="AT2" s="16"/>
      <c r="AU2" s="17" t="s">
        <v>40</v>
      </c>
      <c r="AV2" s="17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55</v>
      </c>
      <c r="B4" s="7">
        <v>40</v>
      </c>
      <c r="C4" s="1">
        <v>8025</v>
      </c>
      <c r="D4" s="9">
        <v>0.42299999999999999</v>
      </c>
      <c r="E4" s="9">
        <v>12.2</v>
      </c>
      <c r="F4" s="9"/>
      <c r="G4" s="9">
        <v>0.71099999999999997</v>
      </c>
      <c r="H4" s="9">
        <v>0.22600000000000001</v>
      </c>
      <c r="I4" s="9">
        <v>0.28299999999999997</v>
      </c>
      <c r="J4" s="9">
        <v>0.127</v>
      </c>
      <c r="K4" s="9">
        <v>7.5999999999999998E-2</v>
      </c>
      <c r="L4" s="9">
        <v>0.28899999999999998</v>
      </c>
      <c r="M4" s="9"/>
      <c r="N4" s="9">
        <v>0.47699999999999998</v>
      </c>
      <c r="O4" s="9">
        <v>0.64600000000000002</v>
      </c>
      <c r="P4" s="9">
        <v>0.42199999999999999</v>
      </c>
      <c r="Q4" s="9">
        <v>0.36699999999999999</v>
      </c>
      <c r="R4" s="9">
        <v>0.36099999999999999</v>
      </c>
      <c r="S4" s="9">
        <v>0.29199999999999998</v>
      </c>
      <c r="T4" s="9"/>
      <c r="U4" s="9">
        <v>0.59199999999999997</v>
      </c>
      <c r="V4" s="9">
        <v>0.90900000000000003</v>
      </c>
      <c r="W4" s="9"/>
      <c r="X4" s="10">
        <v>0.16500000000000001</v>
      </c>
      <c r="Y4" s="10">
        <v>0.30499999999999999</v>
      </c>
      <c r="Z4" s="5"/>
      <c r="AA4" s="5"/>
      <c r="AB4" s="5">
        <f t="shared" ref="AB4:AB18" si="0">RANK(D4,D$4:D$18,0)</f>
        <v>15</v>
      </c>
      <c r="AC4" s="5"/>
      <c r="AD4" s="5">
        <f t="shared" ref="AD4:AD18" si="1">RANK(G4,G$4:G$18,0)</f>
        <v>1</v>
      </c>
      <c r="AE4" s="5">
        <f t="shared" ref="AE4:AE18" si="2">RANK(H4,H$4:H$18,0)</f>
        <v>8</v>
      </c>
      <c r="AF4" s="5">
        <f t="shared" ref="AF4:AF18" si="3">RANK(I4,I$4:I$18,0)</f>
        <v>5</v>
      </c>
      <c r="AG4" s="5">
        <f t="shared" ref="AG4:AG18" si="4">RANK(J4,J$4:J$18,0)</f>
        <v>3</v>
      </c>
      <c r="AH4" s="5">
        <f t="shared" ref="AH4:AH18" si="5">RANK(K4,K$4:K$18,0)</f>
        <v>4</v>
      </c>
      <c r="AI4" s="5">
        <f t="shared" ref="AI4:AI18" si="6">RANK(L4,L$4:L$18,0)</f>
        <v>15</v>
      </c>
      <c r="AJ4" s="5"/>
      <c r="AK4" s="5">
        <f t="shared" ref="AK4:AK18" si="7">RANK(N4,N$4:N$18,0)</f>
        <v>15</v>
      </c>
      <c r="AL4" s="5">
        <f t="shared" ref="AL4:AL18" si="8">RANK(O4,O$4:O$18,0)</f>
        <v>12</v>
      </c>
      <c r="AM4" s="5">
        <f t="shared" ref="AM4:AM18" si="9">RANK(P4,P$4:P$18,0)</f>
        <v>11</v>
      </c>
      <c r="AN4" s="5">
        <f t="shared" ref="AN4:AN18" si="10">RANK(Q4,Q$4:Q$18,0)</f>
        <v>10</v>
      </c>
      <c r="AO4" s="5">
        <f t="shared" ref="AO4:AO18" si="11">RANK(R4,R$4:R$18,0)</f>
        <v>8</v>
      </c>
      <c r="AP4" s="5">
        <f t="shared" ref="AP4:AP18" si="12">RANK(S4,S$4:S$18,0)</f>
        <v>15</v>
      </c>
      <c r="AQ4" s="5"/>
      <c r="AR4" s="5">
        <f t="shared" ref="AR4:AR18" si="13">RANK(U4,U$4:U$18,0)</f>
        <v>6</v>
      </c>
      <c r="AS4" s="5">
        <f t="shared" ref="AS4:AS18" si="14">RANK(V4,V$4:V$18,0)</f>
        <v>2</v>
      </c>
      <c r="AT4" s="5"/>
      <c r="AU4" s="5">
        <f t="shared" ref="AU4:AU18" si="15">RANK(X4,X$4:X$18,0)</f>
        <v>13</v>
      </c>
      <c r="AV4" s="5">
        <f t="shared" ref="AV4:AV18" si="16">RANK(Y4,Y$4:Y$18,0)</f>
        <v>13</v>
      </c>
    </row>
    <row r="5" spans="1:48" x14ac:dyDescent="0.25">
      <c r="A5" s="6" t="s">
        <v>48</v>
      </c>
      <c r="B5" s="7">
        <v>40</v>
      </c>
      <c r="C5" s="1">
        <v>8150</v>
      </c>
      <c r="D5" s="9">
        <v>0.44900000000000001</v>
      </c>
      <c r="E5" s="9">
        <v>11.3</v>
      </c>
      <c r="F5" s="9"/>
      <c r="G5" s="9">
        <v>0.7</v>
      </c>
      <c r="H5" s="9">
        <v>0.25700000000000001</v>
      </c>
      <c r="I5" s="9">
        <v>0.33100000000000002</v>
      </c>
      <c r="J5" s="9">
        <v>7.8E-2</v>
      </c>
      <c r="K5" s="9">
        <v>3.4000000000000002E-2</v>
      </c>
      <c r="L5" s="9">
        <v>0.3</v>
      </c>
      <c r="M5" s="9"/>
      <c r="N5" s="9">
        <v>0.50800000000000001</v>
      </c>
      <c r="O5" s="9">
        <v>0.69599999999999995</v>
      </c>
      <c r="P5" s="9">
        <v>0.41299999999999998</v>
      </c>
      <c r="Q5" s="9">
        <v>0.35599999999999998</v>
      </c>
      <c r="R5" s="9">
        <v>0.36</v>
      </c>
      <c r="S5" s="9">
        <v>0.312</v>
      </c>
      <c r="T5" s="9"/>
      <c r="U5" s="9">
        <v>0.60699999999999998</v>
      </c>
      <c r="V5" s="9">
        <v>0.90200000000000002</v>
      </c>
      <c r="W5" s="9"/>
      <c r="X5" s="10">
        <v>0.24399999999999999</v>
      </c>
      <c r="Y5" s="10">
        <v>0.377</v>
      </c>
      <c r="Z5" s="5"/>
      <c r="AA5" s="5"/>
      <c r="AB5" s="5">
        <f t="shared" si="0"/>
        <v>8</v>
      </c>
      <c r="AC5" s="5"/>
      <c r="AD5" s="5">
        <f t="shared" si="1"/>
        <v>2</v>
      </c>
      <c r="AE5" s="5">
        <f t="shared" si="2"/>
        <v>3</v>
      </c>
      <c r="AF5" s="5">
        <f t="shared" si="3"/>
        <v>1</v>
      </c>
      <c r="AG5" s="5">
        <f t="shared" si="4"/>
        <v>10</v>
      </c>
      <c r="AH5" s="5">
        <f t="shared" si="5"/>
        <v>12</v>
      </c>
      <c r="AI5" s="5">
        <f t="shared" si="6"/>
        <v>14</v>
      </c>
      <c r="AJ5" s="5"/>
      <c r="AK5" s="5">
        <f t="shared" si="7"/>
        <v>10</v>
      </c>
      <c r="AL5" s="5">
        <f t="shared" si="8"/>
        <v>6</v>
      </c>
      <c r="AM5" s="5">
        <f t="shared" si="9"/>
        <v>13</v>
      </c>
      <c r="AN5" s="5">
        <f t="shared" si="10"/>
        <v>11</v>
      </c>
      <c r="AO5" s="5">
        <f t="shared" si="11"/>
        <v>9</v>
      </c>
      <c r="AP5" s="5">
        <f t="shared" si="12"/>
        <v>14</v>
      </c>
      <c r="AQ5" s="5"/>
      <c r="AR5" s="5">
        <f t="shared" si="13"/>
        <v>4</v>
      </c>
      <c r="AS5" s="5">
        <f t="shared" si="14"/>
        <v>4</v>
      </c>
      <c r="AT5" s="5"/>
      <c r="AU5" s="5">
        <f t="shared" si="15"/>
        <v>1</v>
      </c>
      <c r="AV5" s="5">
        <f t="shared" si="16"/>
        <v>5</v>
      </c>
    </row>
    <row r="6" spans="1:48" x14ac:dyDescent="0.25">
      <c r="A6" s="6" t="s">
        <v>49</v>
      </c>
      <c r="B6" s="7">
        <v>40</v>
      </c>
      <c r="C6" s="1">
        <v>8050</v>
      </c>
      <c r="D6" s="9">
        <v>0.441</v>
      </c>
      <c r="E6" s="9">
        <v>12</v>
      </c>
      <c r="F6" s="9"/>
      <c r="G6" s="9">
        <v>0.66600000000000004</v>
      </c>
      <c r="H6" s="9">
        <v>0.32200000000000001</v>
      </c>
      <c r="I6" s="9">
        <v>0.20699999999999999</v>
      </c>
      <c r="J6" s="9">
        <v>8.5999999999999993E-2</v>
      </c>
      <c r="K6" s="9">
        <v>5.0999999999999997E-2</v>
      </c>
      <c r="L6" s="9">
        <v>0.33400000000000002</v>
      </c>
      <c r="M6" s="9"/>
      <c r="N6" s="9">
        <v>0.504</v>
      </c>
      <c r="O6" s="9">
        <v>0.61699999999999999</v>
      </c>
      <c r="P6" s="9">
        <v>0.41299999999999998</v>
      </c>
      <c r="Q6" s="9">
        <v>0.375</v>
      </c>
      <c r="R6" s="9">
        <v>0.378</v>
      </c>
      <c r="S6" s="9">
        <v>0.317</v>
      </c>
      <c r="T6" s="9"/>
      <c r="U6" s="9">
        <v>0.65200000000000002</v>
      </c>
      <c r="V6" s="9">
        <v>0.83699999999999997</v>
      </c>
      <c r="W6" s="9"/>
      <c r="X6" s="10">
        <v>0.20100000000000001</v>
      </c>
      <c r="Y6" s="10">
        <v>0.30499999999999999</v>
      </c>
      <c r="Z6" s="5"/>
      <c r="AA6" s="5"/>
      <c r="AB6" s="5">
        <f t="shared" si="0"/>
        <v>10</v>
      </c>
      <c r="AC6" s="5"/>
      <c r="AD6" s="5">
        <f t="shared" si="1"/>
        <v>3</v>
      </c>
      <c r="AE6" s="5">
        <f t="shared" si="2"/>
        <v>1</v>
      </c>
      <c r="AF6" s="5">
        <f t="shared" si="3"/>
        <v>14</v>
      </c>
      <c r="AG6" s="5">
        <f t="shared" si="4"/>
        <v>8</v>
      </c>
      <c r="AH6" s="5">
        <f t="shared" si="5"/>
        <v>10</v>
      </c>
      <c r="AI6" s="5">
        <f t="shared" si="6"/>
        <v>13</v>
      </c>
      <c r="AJ6" s="5"/>
      <c r="AK6" s="5">
        <f t="shared" si="7"/>
        <v>12</v>
      </c>
      <c r="AL6" s="5">
        <f t="shared" si="8"/>
        <v>15</v>
      </c>
      <c r="AM6" s="5">
        <f t="shared" si="9"/>
        <v>13</v>
      </c>
      <c r="AN6" s="5">
        <f t="shared" si="10"/>
        <v>9</v>
      </c>
      <c r="AO6" s="5">
        <f t="shared" si="11"/>
        <v>6</v>
      </c>
      <c r="AP6" s="5">
        <f t="shared" si="12"/>
        <v>13</v>
      </c>
      <c r="AQ6" s="5"/>
      <c r="AR6" s="5">
        <f t="shared" si="13"/>
        <v>1</v>
      </c>
      <c r="AS6" s="5">
        <f t="shared" si="14"/>
        <v>12</v>
      </c>
      <c r="AT6" s="5"/>
      <c r="AU6" s="5">
        <f t="shared" si="15"/>
        <v>8</v>
      </c>
      <c r="AV6" s="5">
        <f t="shared" si="16"/>
        <v>13</v>
      </c>
    </row>
    <row r="7" spans="1:48" x14ac:dyDescent="0.25">
      <c r="A7" s="6" t="s">
        <v>56</v>
      </c>
      <c r="B7" s="7">
        <v>40</v>
      </c>
      <c r="C7" s="1">
        <v>8050</v>
      </c>
      <c r="D7" s="9">
        <v>0.46700000000000003</v>
      </c>
      <c r="E7" s="9">
        <v>13.7</v>
      </c>
      <c r="F7" s="9"/>
      <c r="G7" s="9">
        <v>0.66400000000000003</v>
      </c>
      <c r="H7" s="9">
        <v>0.17</v>
      </c>
      <c r="I7" s="9">
        <v>0.254</v>
      </c>
      <c r="J7" s="9">
        <v>0.16300000000000001</v>
      </c>
      <c r="K7" s="9">
        <v>7.6999999999999999E-2</v>
      </c>
      <c r="L7" s="9">
        <v>0.33600000000000002</v>
      </c>
      <c r="M7" s="9"/>
      <c r="N7" s="9">
        <v>0.53</v>
      </c>
      <c r="O7" s="9">
        <v>0.70399999999999996</v>
      </c>
      <c r="P7" s="9">
        <v>0.47299999999999998</v>
      </c>
      <c r="Q7" s="9">
        <v>0.497</v>
      </c>
      <c r="R7" s="9">
        <v>0.40600000000000003</v>
      </c>
      <c r="S7" s="9">
        <v>0.34200000000000003</v>
      </c>
      <c r="T7" s="9"/>
      <c r="U7" s="9">
        <v>0.58699999999999997</v>
      </c>
      <c r="V7" s="9">
        <v>0.874</v>
      </c>
      <c r="W7" s="9"/>
      <c r="X7" s="10">
        <v>0.16600000000000001</v>
      </c>
      <c r="Y7" s="10">
        <v>0.32900000000000001</v>
      </c>
      <c r="Z7" s="5"/>
      <c r="AA7" s="5"/>
      <c r="AB7" s="5">
        <f t="shared" si="0"/>
        <v>4</v>
      </c>
      <c r="AC7" s="5"/>
      <c r="AD7" s="5">
        <f t="shared" si="1"/>
        <v>4</v>
      </c>
      <c r="AE7" s="5">
        <f t="shared" si="2"/>
        <v>12</v>
      </c>
      <c r="AF7" s="5">
        <f t="shared" si="3"/>
        <v>10</v>
      </c>
      <c r="AG7" s="5">
        <f t="shared" si="4"/>
        <v>1</v>
      </c>
      <c r="AH7" s="5">
        <f t="shared" si="5"/>
        <v>3</v>
      </c>
      <c r="AI7" s="5">
        <f t="shared" si="6"/>
        <v>11</v>
      </c>
      <c r="AJ7" s="5"/>
      <c r="AK7" s="5">
        <f t="shared" si="7"/>
        <v>6</v>
      </c>
      <c r="AL7" s="5">
        <f t="shared" si="8"/>
        <v>4</v>
      </c>
      <c r="AM7" s="5">
        <f t="shared" si="9"/>
        <v>5</v>
      </c>
      <c r="AN7" s="5">
        <f t="shared" si="10"/>
        <v>1</v>
      </c>
      <c r="AO7" s="5">
        <f t="shared" si="11"/>
        <v>3</v>
      </c>
      <c r="AP7" s="5">
        <f t="shared" si="12"/>
        <v>8</v>
      </c>
      <c r="AQ7" s="5"/>
      <c r="AR7" s="5">
        <f t="shared" si="13"/>
        <v>7</v>
      </c>
      <c r="AS7" s="5">
        <f t="shared" si="14"/>
        <v>7</v>
      </c>
      <c r="AT7" s="5"/>
      <c r="AU7" s="5">
        <f t="shared" si="15"/>
        <v>11</v>
      </c>
      <c r="AV7" s="5">
        <f t="shared" si="16"/>
        <v>11</v>
      </c>
    </row>
    <row r="8" spans="1:48" x14ac:dyDescent="0.25">
      <c r="A8" s="6" t="s">
        <v>42</v>
      </c>
      <c r="B8" s="7">
        <v>40</v>
      </c>
      <c r="C8" s="1">
        <v>8000</v>
      </c>
      <c r="D8" s="9">
        <v>0.48199999999999998</v>
      </c>
      <c r="E8" s="9">
        <v>13.2</v>
      </c>
      <c r="F8" s="9"/>
      <c r="G8" s="9">
        <v>0.66400000000000003</v>
      </c>
      <c r="H8" s="9">
        <v>0.24299999999999999</v>
      </c>
      <c r="I8" s="9">
        <v>0.214</v>
      </c>
      <c r="J8" s="9">
        <v>8.5999999999999993E-2</v>
      </c>
      <c r="K8" s="9">
        <v>0.121</v>
      </c>
      <c r="L8" s="9">
        <v>0.33600000000000002</v>
      </c>
      <c r="M8" s="9"/>
      <c r="N8" s="9">
        <v>0.52800000000000002</v>
      </c>
      <c r="O8" s="9">
        <v>0.67700000000000005</v>
      </c>
      <c r="P8" s="9">
        <v>0.47299999999999998</v>
      </c>
      <c r="Q8" s="9">
        <v>0.39900000000000002</v>
      </c>
      <c r="R8" s="9">
        <v>0.41599999999999998</v>
      </c>
      <c r="S8" s="9">
        <v>0.39100000000000001</v>
      </c>
      <c r="T8" s="9"/>
      <c r="U8" s="9">
        <v>0.56299999999999994</v>
      </c>
      <c r="V8" s="9">
        <v>0.84099999999999997</v>
      </c>
      <c r="W8" s="9"/>
      <c r="X8" s="10">
        <v>0.19</v>
      </c>
      <c r="Y8" s="10">
        <v>0.40600000000000003</v>
      </c>
      <c r="Z8" s="5"/>
      <c r="AA8" s="5"/>
      <c r="AB8" s="5">
        <f t="shared" si="0"/>
        <v>2</v>
      </c>
      <c r="AC8" s="5"/>
      <c r="AD8" s="5">
        <f t="shared" si="1"/>
        <v>4</v>
      </c>
      <c r="AE8" s="5">
        <f t="shared" si="2"/>
        <v>5</v>
      </c>
      <c r="AF8" s="5">
        <f t="shared" si="3"/>
        <v>13</v>
      </c>
      <c r="AG8" s="5">
        <f t="shared" si="4"/>
        <v>8</v>
      </c>
      <c r="AH8" s="5">
        <f t="shared" si="5"/>
        <v>1</v>
      </c>
      <c r="AI8" s="5">
        <f t="shared" si="6"/>
        <v>11</v>
      </c>
      <c r="AJ8" s="5"/>
      <c r="AK8" s="5">
        <f t="shared" si="7"/>
        <v>7</v>
      </c>
      <c r="AL8" s="5">
        <f t="shared" si="8"/>
        <v>7</v>
      </c>
      <c r="AM8" s="5">
        <f t="shared" si="9"/>
        <v>5</v>
      </c>
      <c r="AN8" s="5">
        <f t="shared" si="10"/>
        <v>5</v>
      </c>
      <c r="AO8" s="5">
        <f t="shared" si="11"/>
        <v>1</v>
      </c>
      <c r="AP8" s="5">
        <f t="shared" si="12"/>
        <v>2</v>
      </c>
      <c r="AQ8" s="5"/>
      <c r="AR8" s="5">
        <f t="shared" si="13"/>
        <v>11</v>
      </c>
      <c r="AS8" s="5">
        <f t="shared" si="14"/>
        <v>11</v>
      </c>
      <c r="AT8" s="5"/>
      <c r="AU8" s="5">
        <f t="shared" si="15"/>
        <v>9</v>
      </c>
      <c r="AV8" s="5">
        <f t="shared" si="16"/>
        <v>1</v>
      </c>
    </row>
    <row r="9" spans="1:48" x14ac:dyDescent="0.25">
      <c r="A9" s="6" t="s">
        <v>46</v>
      </c>
      <c r="B9" s="7">
        <v>40</v>
      </c>
      <c r="C9" s="1">
        <v>8050</v>
      </c>
      <c r="D9" s="9">
        <v>0.48199999999999998</v>
      </c>
      <c r="E9" s="9">
        <v>14</v>
      </c>
      <c r="F9" s="9"/>
      <c r="G9" s="9">
        <v>0.65100000000000002</v>
      </c>
      <c r="H9" s="9">
        <v>0.13500000000000001</v>
      </c>
      <c r="I9" s="9">
        <v>0.29199999999999998</v>
      </c>
      <c r="J9" s="9">
        <v>0.14599999999999999</v>
      </c>
      <c r="K9" s="9">
        <v>7.8E-2</v>
      </c>
      <c r="L9" s="9">
        <v>0.34899999999999998</v>
      </c>
      <c r="M9" s="9"/>
      <c r="N9" s="9">
        <v>0.54900000000000004</v>
      </c>
      <c r="O9" s="9">
        <v>0.73899999999999999</v>
      </c>
      <c r="P9" s="9">
        <v>0.54300000000000004</v>
      </c>
      <c r="Q9" s="9">
        <v>0.47299999999999998</v>
      </c>
      <c r="R9" s="9">
        <v>0.39200000000000002</v>
      </c>
      <c r="S9" s="9">
        <v>0.35499999999999998</v>
      </c>
      <c r="T9" s="9"/>
      <c r="U9" s="9">
        <v>0.60499999999999998</v>
      </c>
      <c r="V9" s="9">
        <v>0.83699999999999997</v>
      </c>
      <c r="W9" s="9"/>
      <c r="X9" s="10">
        <v>0.20399999999999999</v>
      </c>
      <c r="Y9" s="10">
        <v>0.376</v>
      </c>
      <c r="Z9" s="5"/>
      <c r="AA9" s="5"/>
      <c r="AB9" s="5">
        <f t="shared" si="0"/>
        <v>2</v>
      </c>
      <c r="AC9" s="5"/>
      <c r="AD9" s="5">
        <f t="shared" si="1"/>
        <v>6</v>
      </c>
      <c r="AE9" s="5">
        <f t="shared" si="2"/>
        <v>14</v>
      </c>
      <c r="AF9" s="5">
        <f t="shared" si="3"/>
        <v>4</v>
      </c>
      <c r="AG9" s="5">
        <f t="shared" si="4"/>
        <v>2</v>
      </c>
      <c r="AH9" s="5">
        <f t="shared" si="5"/>
        <v>2</v>
      </c>
      <c r="AI9" s="5">
        <f t="shared" si="6"/>
        <v>10</v>
      </c>
      <c r="AJ9" s="5"/>
      <c r="AK9" s="5">
        <f t="shared" si="7"/>
        <v>2</v>
      </c>
      <c r="AL9" s="5">
        <f t="shared" si="8"/>
        <v>2</v>
      </c>
      <c r="AM9" s="5">
        <f t="shared" si="9"/>
        <v>1</v>
      </c>
      <c r="AN9" s="5">
        <f t="shared" si="10"/>
        <v>2</v>
      </c>
      <c r="AO9" s="5">
        <f t="shared" si="11"/>
        <v>5</v>
      </c>
      <c r="AP9" s="5">
        <f t="shared" si="12"/>
        <v>3</v>
      </c>
      <c r="AQ9" s="5"/>
      <c r="AR9" s="5">
        <f t="shared" si="13"/>
        <v>5</v>
      </c>
      <c r="AS9" s="5">
        <f t="shared" si="14"/>
        <v>12</v>
      </c>
      <c r="AT9" s="5"/>
      <c r="AU9" s="5">
        <f t="shared" si="15"/>
        <v>7</v>
      </c>
      <c r="AV9" s="5">
        <f t="shared" si="16"/>
        <v>6</v>
      </c>
    </row>
    <row r="10" spans="1:48" x14ac:dyDescent="0.25">
      <c r="A10" s="6" t="s">
        <v>50</v>
      </c>
      <c r="B10" s="7">
        <v>40</v>
      </c>
      <c r="C10" s="1">
        <v>8025</v>
      </c>
      <c r="D10" s="9">
        <v>0.44500000000000001</v>
      </c>
      <c r="E10" s="9">
        <v>13.5</v>
      </c>
      <c r="F10" s="9"/>
      <c r="G10" s="9">
        <v>0.63300000000000001</v>
      </c>
      <c r="H10" s="9">
        <v>0.19400000000000001</v>
      </c>
      <c r="I10" s="9">
        <v>0.27900000000000003</v>
      </c>
      <c r="J10" s="9">
        <v>9.0999999999999998E-2</v>
      </c>
      <c r="K10" s="9">
        <v>6.8000000000000005E-2</v>
      </c>
      <c r="L10" s="9">
        <v>0.36699999999999999</v>
      </c>
      <c r="M10" s="9"/>
      <c r="N10" s="9">
        <v>0.51300000000000001</v>
      </c>
      <c r="O10" s="9">
        <v>0.69899999999999995</v>
      </c>
      <c r="P10" s="9">
        <v>0.48299999999999998</v>
      </c>
      <c r="Q10" s="9">
        <v>0.35099999999999998</v>
      </c>
      <c r="R10" s="9">
        <v>0.318</v>
      </c>
      <c r="S10" s="9">
        <v>0.32700000000000001</v>
      </c>
      <c r="T10" s="9"/>
      <c r="U10" s="9">
        <v>0.61699999999999999</v>
      </c>
      <c r="V10" s="9">
        <v>0.88900000000000001</v>
      </c>
      <c r="W10" s="9"/>
      <c r="X10" s="10">
        <v>0.24099999999999999</v>
      </c>
      <c r="Y10" s="10">
        <v>0.36199999999999999</v>
      </c>
      <c r="Z10" s="5"/>
      <c r="AA10" s="5"/>
      <c r="AB10" s="5">
        <f t="shared" si="0"/>
        <v>9</v>
      </c>
      <c r="AC10" s="5"/>
      <c r="AD10" s="5">
        <f t="shared" si="1"/>
        <v>7</v>
      </c>
      <c r="AE10" s="5">
        <f t="shared" si="2"/>
        <v>10</v>
      </c>
      <c r="AF10" s="5">
        <f t="shared" si="3"/>
        <v>7</v>
      </c>
      <c r="AG10" s="5">
        <f t="shared" si="4"/>
        <v>5</v>
      </c>
      <c r="AH10" s="5">
        <f t="shared" si="5"/>
        <v>5</v>
      </c>
      <c r="AI10" s="5">
        <f t="shared" si="6"/>
        <v>9</v>
      </c>
      <c r="AJ10" s="5"/>
      <c r="AK10" s="5">
        <f t="shared" si="7"/>
        <v>8</v>
      </c>
      <c r="AL10" s="5">
        <f t="shared" si="8"/>
        <v>5</v>
      </c>
      <c r="AM10" s="5">
        <f t="shared" si="9"/>
        <v>4</v>
      </c>
      <c r="AN10" s="5">
        <f t="shared" si="10"/>
        <v>12</v>
      </c>
      <c r="AO10" s="5">
        <f t="shared" si="11"/>
        <v>13</v>
      </c>
      <c r="AP10" s="5">
        <f t="shared" si="12"/>
        <v>10</v>
      </c>
      <c r="AQ10" s="5"/>
      <c r="AR10" s="5">
        <f t="shared" si="13"/>
        <v>3</v>
      </c>
      <c r="AS10" s="5">
        <f t="shared" si="14"/>
        <v>5</v>
      </c>
      <c r="AT10" s="5"/>
      <c r="AU10" s="5">
        <f t="shared" si="15"/>
        <v>2</v>
      </c>
      <c r="AV10" s="5">
        <f t="shared" si="16"/>
        <v>8</v>
      </c>
    </row>
    <row r="11" spans="1:48" x14ac:dyDescent="0.25">
      <c r="A11" s="6" t="s">
        <v>45</v>
      </c>
      <c r="B11" s="7">
        <v>40</v>
      </c>
      <c r="C11" s="1">
        <v>8100</v>
      </c>
      <c r="D11" s="9">
        <v>0.49199999999999999</v>
      </c>
      <c r="E11" s="9">
        <v>13.6</v>
      </c>
      <c r="F11" s="9"/>
      <c r="G11" s="9">
        <v>0.62</v>
      </c>
      <c r="H11" s="9">
        <v>0.23899999999999999</v>
      </c>
      <c r="I11" s="9">
        <v>0.247</v>
      </c>
      <c r="J11" s="9">
        <v>6.6000000000000003E-2</v>
      </c>
      <c r="K11" s="9">
        <v>6.8000000000000005E-2</v>
      </c>
      <c r="L11" s="9">
        <v>0.38</v>
      </c>
      <c r="M11" s="9"/>
      <c r="N11" s="9">
        <v>0.55100000000000005</v>
      </c>
      <c r="O11" s="9">
        <v>0.66200000000000003</v>
      </c>
      <c r="P11" s="9">
        <v>0.52300000000000002</v>
      </c>
      <c r="Q11" s="9">
        <v>0.38800000000000001</v>
      </c>
      <c r="R11" s="9">
        <v>0.41599999999999998</v>
      </c>
      <c r="S11" s="9">
        <v>0.39500000000000002</v>
      </c>
      <c r="T11" s="9"/>
      <c r="U11" s="9">
        <v>0.55100000000000005</v>
      </c>
      <c r="V11" s="9">
        <v>0.73599999999999999</v>
      </c>
      <c r="W11" s="9"/>
      <c r="X11" s="10">
        <v>0.16600000000000001</v>
      </c>
      <c r="Y11" s="10">
        <v>0.38900000000000001</v>
      </c>
      <c r="Z11" s="5"/>
      <c r="AA11" s="5"/>
      <c r="AB11" s="5">
        <f t="shared" si="0"/>
        <v>1</v>
      </c>
      <c r="AC11" s="5"/>
      <c r="AD11" s="5">
        <f t="shared" si="1"/>
        <v>8</v>
      </c>
      <c r="AE11" s="5">
        <f t="shared" si="2"/>
        <v>6</v>
      </c>
      <c r="AF11" s="5">
        <f t="shared" si="3"/>
        <v>11</v>
      </c>
      <c r="AG11" s="5">
        <f t="shared" si="4"/>
        <v>12</v>
      </c>
      <c r="AH11" s="5">
        <f t="shared" si="5"/>
        <v>5</v>
      </c>
      <c r="AI11" s="5">
        <f t="shared" si="6"/>
        <v>7</v>
      </c>
      <c r="AJ11" s="5"/>
      <c r="AK11" s="5">
        <f t="shared" si="7"/>
        <v>1</v>
      </c>
      <c r="AL11" s="5">
        <f t="shared" si="8"/>
        <v>10</v>
      </c>
      <c r="AM11" s="5">
        <f t="shared" si="9"/>
        <v>2</v>
      </c>
      <c r="AN11" s="5">
        <f t="shared" si="10"/>
        <v>7</v>
      </c>
      <c r="AO11" s="5">
        <f t="shared" si="11"/>
        <v>1</v>
      </c>
      <c r="AP11" s="5">
        <f t="shared" si="12"/>
        <v>1</v>
      </c>
      <c r="AQ11" s="5"/>
      <c r="AR11" s="5">
        <f t="shared" si="13"/>
        <v>14</v>
      </c>
      <c r="AS11" s="5">
        <f t="shared" si="14"/>
        <v>15</v>
      </c>
      <c r="AT11" s="5"/>
      <c r="AU11" s="5">
        <f t="shared" si="15"/>
        <v>11</v>
      </c>
      <c r="AV11" s="5">
        <f t="shared" si="16"/>
        <v>2</v>
      </c>
    </row>
    <row r="12" spans="1:48" x14ac:dyDescent="0.25">
      <c r="A12" s="6" t="s">
        <v>52</v>
      </c>
      <c r="B12" s="7">
        <v>40</v>
      </c>
      <c r="C12" s="1">
        <v>8025</v>
      </c>
      <c r="D12" s="9">
        <v>0.42599999999999999</v>
      </c>
      <c r="E12" s="9">
        <v>13.7</v>
      </c>
      <c r="F12" s="9"/>
      <c r="G12" s="9">
        <v>0.62</v>
      </c>
      <c r="H12" s="9">
        <v>0.18</v>
      </c>
      <c r="I12" s="9">
        <v>0.29499999999999998</v>
      </c>
      <c r="J12" s="9">
        <v>8.6999999999999994E-2</v>
      </c>
      <c r="K12" s="9">
        <v>5.8000000000000003E-2</v>
      </c>
      <c r="L12" s="9">
        <v>0.38</v>
      </c>
      <c r="M12" s="9"/>
      <c r="N12" s="9">
        <v>0.49099999999999999</v>
      </c>
      <c r="O12" s="9">
        <v>0.67100000000000004</v>
      </c>
      <c r="P12" s="9">
        <v>0.45900000000000002</v>
      </c>
      <c r="Q12" s="9">
        <v>0.33300000000000002</v>
      </c>
      <c r="R12" s="9">
        <v>0.34</v>
      </c>
      <c r="S12" s="9">
        <v>0.31900000000000001</v>
      </c>
      <c r="T12" s="9"/>
      <c r="U12" s="9">
        <v>0.56299999999999994</v>
      </c>
      <c r="V12" s="9">
        <v>0.86099999999999999</v>
      </c>
      <c r="W12" s="9"/>
      <c r="X12" s="10">
        <v>0.159</v>
      </c>
      <c r="Y12" s="10">
        <v>0.30199999999999999</v>
      </c>
      <c r="Z12" s="5"/>
      <c r="AA12" s="5"/>
      <c r="AB12" s="5">
        <f t="shared" si="0"/>
        <v>13</v>
      </c>
      <c r="AC12" s="5"/>
      <c r="AD12" s="5">
        <f t="shared" si="1"/>
        <v>8</v>
      </c>
      <c r="AE12" s="5">
        <f t="shared" si="2"/>
        <v>11</v>
      </c>
      <c r="AF12" s="5">
        <f t="shared" si="3"/>
        <v>3</v>
      </c>
      <c r="AG12" s="5">
        <f t="shared" si="4"/>
        <v>6</v>
      </c>
      <c r="AH12" s="5">
        <f t="shared" si="5"/>
        <v>9</v>
      </c>
      <c r="AI12" s="5">
        <f t="shared" si="6"/>
        <v>7</v>
      </c>
      <c r="AJ12" s="5"/>
      <c r="AK12" s="5">
        <f t="shared" si="7"/>
        <v>13</v>
      </c>
      <c r="AL12" s="5">
        <f t="shared" si="8"/>
        <v>9</v>
      </c>
      <c r="AM12" s="5">
        <f t="shared" si="9"/>
        <v>9</v>
      </c>
      <c r="AN12" s="5">
        <f t="shared" si="10"/>
        <v>14</v>
      </c>
      <c r="AO12" s="5">
        <f t="shared" si="11"/>
        <v>10</v>
      </c>
      <c r="AP12" s="5">
        <f t="shared" si="12"/>
        <v>12</v>
      </c>
      <c r="AQ12" s="5"/>
      <c r="AR12" s="5">
        <f t="shared" si="13"/>
        <v>11</v>
      </c>
      <c r="AS12" s="5">
        <f t="shared" si="14"/>
        <v>8</v>
      </c>
      <c r="AT12" s="5"/>
      <c r="AU12" s="5">
        <f t="shared" si="15"/>
        <v>15</v>
      </c>
      <c r="AV12" s="5">
        <f t="shared" si="16"/>
        <v>15</v>
      </c>
    </row>
    <row r="13" spans="1:48" x14ac:dyDescent="0.25">
      <c r="A13" s="6" t="s">
        <v>53</v>
      </c>
      <c r="B13" s="7">
        <v>40</v>
      </c>
      <c r="C13" s="1">
        <v>8025</v>
      </c>
      <c r="D13" s="9">
        <v>0.46400000000000002</v>
      </c>
      <c r="E13" s="9">
        <v>13.2</v>
      </c>
      <c r="F13" s="9"/>
      <c r="G13" s="9">
        <v>0.61799999999999999</v>
      </c>
      <c r="H13" s="9">
        <v>0.23300000000000001</v>
      </c>
      <c r="I13" s="9">
        <v>0.25900000000000001</v>
      </c>
      <c r="J13" s="9">
        <v>8.6999999999999994E-2</v>
      </c>
      <c r="K13" s="9">
        <v>3.7999999999999999E-2</v>
      </c>
      <c r="L13" s="9">
        <v>0.38200000000000001</v>
      </c>
      <c r="M13" s="9"/>
      <c r="N13" s="9">
        <v>0.54600000000000004</v>
      </c>
      <c r="O13" s="9">
        <v>0.73099999999999998</v>
      </c>
      <c r="P13" s="9">
        <v>0.44700000000000001</v>
      </c>
      <c r="Q13" s="9">
        <v>0.42</v>
      </c>
      <c r="R13" s="9">
        <v>0.36899999999999999</v>
      </c>
      <c r="S13" s="9">
        <v>0.33300000000000002</v>
      </c>
      <c r="T13" s="9"/>
      <c r="U13" s="9">
        <v>0.629</v>
      </c>
      <c r="V13" s="9">
        <v>0.85899999999999999</v>
      </c>
      <c r="W13" s="9"/>
      <c r="X13" s="10">
        <v>0.17199999999999999</v>
      </c>
      <c r="Y13" s="10">
        <v>0.34599999999999997</v>
      </c>
      <c r="Z13" s="5"/>
      <c r="AA13" s="5"/>
      <c r="AB13" s="5">
        <f t="shared" si="0"/>
        <v>5</v>
      </c>
      <c r="AC13" s="5"/>
      <c r="AD13" s="5">
        <f t="shared" si="1"/>
        <v>10</v>
      </c>
      <c r="AE13" s="5">
        <f t="shared" si="2"/>
        <v>7</v>
      </c>
      <c r="AF13" s="5">
        <f t="shared" si="3"/>
        <v>9</v>
      </c>
      <c r="AG13" s="5">
        <f t="shared" si="4"/>
        <v>6</v>
      </c>
      <c r="AH13" s="5">
        <f t="shared" si="5"/>
        <v>11</v>
      </c>
      <c r="AI13" s="5">
        <f t="shared" si="6"/>
        <v>6</v>
      </c>
      <c r="AJ13" s="5"/>
      <c r="AK13" s="5">
        <f t="shared" si="7"/>
        <v>3</v>
      </c>
      <c r="AL13" s="5">
        <f t="shared" si="8"/>
        <v>3</v>
      </c>
      <c r="AM13" s="5">
        <f t="shared" si="9"/>
        <v>10</v>
      </c>
      <c r="AN13" s="5">
        <f t="shared" si="10"/>
        <v>4</v>
      </c>
      <c r="AO13" s="5">
        <f t="shared" si="11"/>
        <v>7</v>
      </c>
      <c r="AP13" s="5">
        <f t="shared" si="12"/>
        <v>9</v>
      </c>
      <c r="AQ13" s="5"/>
      <c r="AR13" s="5">
        <f t="shared" si="13"/>
        <v>2</v>
      </c>
      <c r="AS13" s="5">
        <f t="shared" si="14"/>
        <v>9</v>
      </c>
      <c r="AT13" s="5"/>
      <c r="AU13" s="5">
        <f t="shared" si="15"/>
        <v>10</v>
      </c>
      <c r="AV13" s="5">
        <f t="shared" si="16"/>
        <v>10</v>
      </c>
    </row>
    <row r="14" spans="1:48" x14ac:dyDescent="0.25">
      <c r="A14" s="6" t="s">
        <v>44</v>
      </c>
      <c r="B14" s="7">
        <v>40</v>
      </c>
      <c r="C14" s="1">
        <v>8025</v>
      </c>
      <c r="D14" s="9">
        <v>0.439</v>
      </c>
      <c r="E14" s="9">
        <v>12.3</v>
      </c>
      <c r="F14" s="9"/>
      <c r="G14" s="9">
        <v>0.61699999999999999</v>
      </c>
      <c r="H14" s="9">
        <v>0.318</v>
      </c>
      <c r="I14" s="9">
        <v>0.23</v>
      </c>
      <c r="J14" s="9">
        <v>4.8000000000000001E-2</v>
      </c>
      <c r="K14" s="9">
        <v>2.1000000000000001E-2</v>
      </c>
      <c r="L14" s="9">
        <v>0.38300000000000001</v>
      </c>
      <c r="M14" s="9"/>
      <c r="N14" s="9">
        <v>0.51</v>
      </c>
      <c r="O14" s="9">
        <v>0.63600000000000001</v>
      </c>
      <c r="P14" s="9">
        <v>0.39300000000000002</v>
      </c>
      <c r="Q14" s="9">
        <v>0.34799999999999998</v>
      </c>
      <c r="R14" s="9">
        <v>0.27100000000000002</v>
      </c>
      <c r="S14" s="9">
        <v>0.32400000000000001</v>
      </c>
      <c r="T14" s="9"/>
      <c r="U14" s="9">
        <v>0.57199999999999995</v>
      </c>
      <c r="V14" s="9">
        <v>0.92700000000000005</v>
      </c>
      <c r="W14" s="9"/>
      <c r="X14" s="10">
        <v>0.16</v>
      </c>
      <c r="Y14" s="10">
        <v>0.32600000000000001</v>
      </c>
      <c r="Z14" s="5"/>
      <c r="AA14" s="5"/>
      <c r="AB14" s="5">
        <f t="shared" si="0"/>
        <v>12</v>
      </c>
      <c r="AC14" s="5"/>
      <c r="AD14" s="5">
        <f t="shared" si="1"/>
        <v>11</v>
      </c>
      <c r="AE14" s="5">
        <f t="shared" si="2"/>
        <v>2</v>
      </c>
      <c r="AF14" s="5">
        <f t="shared" si="3"/>
        <v>12</v>
      </c>
      <c r="AG14" s="5">
        <f t="shared" si="4"/>
        <v>15</v>
      </c>
      <c r="AH14" s="5">
        <f t="shared" si="5"/>
        <v>15</v>
      </c>
      <c r="AI14" s="5">
        <f t="shared" si="6"/>
        <v>5</v>
      </c>
      <c r="AJ14" s="5"/>
      <c r="AK14" s="5">
        <f t="shared" si="7"/>
        <v>9</v>
      </c>
      <c r="AL14" s="5">
        <f t="shared" si="8"/>
        <v>14</v>
      </c>
      <c r="AM14" s="5">
        <f t="shared" si="9"/>
        <v>15</v>
      </c>
      <c r="AN14" s="5">
        <f t="shared" si="10"/>
        <v>13</v>
      </c>
      <c r="AO14" s="5">
        <f t="shared" si="11"/>
        <v>15</v>
      </c>
      <c r="AP14" s="5">
        <f t="shared" si="12"/>
        <v>11</v>
      </c>
      <c r="AQ14" s="5"/>
      <c r="AR14" s="5">
        <f t="shared" si="13"/>
        <v>10</v>
      </c>
      <c r="AS14" s="5">
        <f t="shared" si="14"/>
        <v>1</v>
      </c>
      <c r="AT14" s="5"/>
      <c r="AU14" s="5">
        <f t="shared" si="15"/>
        <v>14</v>
      </c>
      <c r="AV14" s="5">
        <f t="shared" si="16"/>
        <v>12</v>
      </c>
    </row>
    <row r="15" spans="1:48" x14ac:dyDescent="0.25">
      <c r="A15" s="6" t="s">
        <v>54</v>
      </c>
      <c r="B15" s="7">
        <v>40</v>
      </c>
      <c r="C15" s="1">
        <v>8025</v>
      </c>
      <c r="D15" s="9">
        <v>0.44</v>
      </c>
      <c r="E15" s="9">
        <v>13.9</v>
      </c>
      <c r="F15" s="9"/>
      <c r="G15" s="9">
        <v>0.58699999999999997</v>
      </c>
      <c r="H15" s="9">
        <v>0.249</v>
      </c>
      <c r="I15" s="9">
        <v>0.20599999999999999</v>
      </c>
      <c r="J15" s="9">
        <v>7.0999999999999994E-2</v>
      </c>
      <c r="K15" s="9">
        <v>6.0999999999999999E-2</v>
      </c>
      <c r="L15" s="9">
        <v>0.41299999999999998</v>
      </c>
      <c r="M15" s="9"/>
      <c r="N15" s="9">
        <v>0.50700000000000001</v>
      </c>
      <c r="O15" s="9">
        <v>0.65700000000000003</v>
      </c>
      <c r="P15" s="9">
        <v>0.41799999999999998</v>
      </c>
      <c r="Q15" s="9">
        <v>0.32600000000000001</v>
      </c>
      <c r="R15" s="9">
        <v>0.40400000000000003</v>
      </c>
      <c r="S15" s="9">
        <v>0.34599999999999997</v>
      </c>
      <c r="T15" s="9"/>
      <c r="U15" s="9">
        <v>0.58399999999999996</v>
      </c>
      <c r="V15" s="9">
        <v>0.82699999999999996</v>
      </c>
      <c r="W15" s="9"/>
      <c r="X15" s="10">
        <v>0.20599999999999999</v>
      </c>
      <c r="Y15" s="10">
        <v>0.36499999999999999</v>
      </c>
      <c r="Z15" s="5"/>
      <c r="AA15" s="5"/>
      <c r="AB15" s="5">
        <f t="shared" si="0"/>
        <v>11</v>
      </c>
      <c r="AC15" s="5"/>
      <c r="AD15" s="5">
        <f t="shared" si="1"/>
        <v>12</v>
      </c>
      <c r="AE15" s="5">
        <f t="shared" si="2"/>
        <v>4</v>
      </c>
      <c r="AF15" s="5">
        <f t="shared" si="3"/>
        <v>15</v>
      </c>
      <c r="AG15" s="5">
        <f t="shared" si="4"/>
        <v>11</v>
      </c>
      <c r="AH15" s="5">
        <f t="shared" si="5"/>
        <v>7</v>
      </c>
      <c r="AI15" s="5">
        <f t="shared" si="6"/>
        <v>4</v>
      </c>
      <c r="AJ15" s="5"/>
      <c r="AK15" s="5">
        <f t="shared" si="7"/>
        <v>11</v>
      </c>
      <c r="AL15" s="5">
        <f t="shared" si="8"/>
        <v>11</v>
      </c>
      <c r="AM15" s="5">
        <f t="shared" si="9"/>
        <v>12</v>
      </c>
      <c r="AN15" s="5">
        <f t="shared" si="10"/>
        <v>15</v>
      </c>
      <c r="AO15" s="5">
        <f t="shared" si="11"/>
        <v>4</v>
      </c>
      <c r="AP15" s="5">
        <f t="shared" si="12"/>
        <v>7</v>
      </c>
      <c r="AQ15" s="5"/>
      <c r="AR15" s="5">
        <f t="shared" si="13"/>
        <v>8</v>
      </c>
      <c r="AS15" s="5">
        <f t="shared" si="14"/>
        <v>14</v>
      </c>
      <c r="AT15" s="5"/>
      <c r="AU15" s="5">
        <f t="shared" si="15"/>
        <v>6</v>
      </c>
      <c r="AV15" s="5">
        <f t="shared" si="16"/>
        <v>7</v>
      </c>
    </row>
    <row r="16" spans="1:48" x14ac:dyDescent="0.25">
      <c r="A16" s="6" t="s">
        <v>47</v>
      </c>
      <c r="B16" s="7">
        <v>40</v>
      </c>
      <c r="C16" s="1">
        <v>8050</v>
      </c>
      <c r="D16" s="9">
        <v>0.46</v>
      </c>
      <c r="E16" s="9">
        <v>13.9</v>
      </c>
      <c r="F16" s="9"/>
      <c r="G16" s="9">
        <v>0.56699999999999995</v>
      </c>
      <c r="H16" s="9">
        <v>0.19700000000000001</v>
      </c>
      <c r="I16" s="9">
        <v>0.28299999999999997</v>
      </c>
      <c r="J16" s="9">
        <v>6.2E-2</v>
      </c>
      <c r="K16" s="9">
        <v>2.5000000000000001E-2</v>
      </c>
      <c r="L16" s="9">
        <v>0.433</v>
      </c>
      <c r="M16" s="9"/>
      <c r="N16" s="9">
        <v>0.54500000000000004</v>
      </c>
      <c r="O16" s="9">
        <v>0.74199999999999999</v>
      </c>
      <c r="P16" s="9">
        <v>0.46100000000000002</v>
      </c>
      <c r="Q16" s="9">
        <v>0.39200000000000002</v>
      </c>
      <c r="R16" s="9">
        <v>0.313</v>
      </c>
      <c r="S16" s="9">
        <v>0.35</v>
      </c>
      <c r="T16" s="9"/>
      <c r="U16" s="9">
        <v>0.58399999999999996</v>
      </c>
      <c r="V16" s="9">
        <v>0.85</v>
      </c>
      <c r="W16" s="9"/>
      <c r="X16" s="10">
        <v>0.23200000000000001</v>
      </c>
      <c r="Y16" s="10">
        <v>0.378</v>
      </c>
      <c r="Z16" s="5"/>
      <c r="AA16" s="5"/>
      <c r="AB16" s="5">
        <f t="shared" si="0"/>
        <v>6</v>
      </c>
      <c r="AC16" s="5"/>
      <c r="AD16" s="5">
        <f t="shared" si="1"/>
        <v>13</v>
      </c>
      <c r="AE16" s="5">
        <f t="shared" si="2"/>
        <v>9</v>
      </c>
      <c r="AF16" s="5">
        <f t="shared" si="3"/>
        <v>5</v>
      </c>
      <c r="AG16" s="5">
        <f t="shared" si="4"/>
        <v>13</v>
      </c>
      <c r="AH16" s="5">
        <f t="shared" si="5"/>
        <v>13</v>
      </c>
      <c r="AI16" s="5">
        <f t="shared" si="6"/>
        <v>3</v>
      </c>
      <c r="AJ16" s="5"/>
      <c r="AK16" s="5">
        <f t="shared" si="7"/>
        <v>4</v>
      </c>
      <c r="AL16" s="5">
        <f t="shared" si="8"/>
        <v>1</v>
      </c>
      <c r="AM16" s="5">
        <f t="shared" si="9"/>
        <v>8</v>
      </c>
      <c r="AN16" s="5">
        <f t="shared" si="10"/>
        <v>6</v>
      </c>
      <c r="AO16" s="5">
        <f t="shared" si="11"/>
        <v>14</v>
      </c>
      <c r="AP16" s="5">
        <f t="shared" si="12"/>
        <v>4</v>
      </c>
      <c r="AQ16" s="5"/>
      <c r="AR16" s="5">
        <f t="shared" si="13"/>
        <v>8</v>
      </c>
      <c r="AS16" s="5">
        <f t="shared" si="14"/>
        <v>10</v>
      </c>
      <c r="AT16" s="5"/>
      <c r="AU16" s="5">
        <f t="shared" si="15"/>
        <v>3</v>
      </c>
      <c r="AV16" s="5">
        <f t="shared" si="16"/>
        <v>3</v>
      </c>
    </row>
    <row r="17" spans="1:48" x14ac:dyDescent="0.25">
      <c r="A17" s="6" t="s">
        <v>51</v>
      </c>
      <c r="B17" s="7">
        <v>40</v>
      </c>
      <c r="C17" s="1">
        <v>8100</v>
      </c>
      <c r="D17" s="9">
        <v>0.45200000000000001</v>
      </c>
      <c r="E17" s="9">
        <v>14</v>
      </c>
      <c r="F17" s="9"/>
      <c r="G17" s="9">
        <v>0.56399999999999995</v>
      </c>
      <c r="H17" s="9">
        <v>0.16600000000000001</v>
      </c>
      <c r="I17" s="9">
        <v>0.315</v>
      </c>
      <c r="J17" s="9">
        <v>5.8999999999999997E-2</v>
      </c>
      <c r="K17" s="9">
        <v>2.5000000000000001E-2</v>
      </c>
      <c r="L17" s="9">
        <v>0.436</v>
      </c>
      <c r="M17" s="9"/>
      <c r="N17" s="9">
        <v>0.53200000000000003</v>
      </c>
      <c r="O17" s="9">
        <v>0.63800000000000001</v>
      </c>
      <c r="P17" s="9">
        <v>0.50600000000000001</v>
      </c>
      <c r="Q17" s="9">
        <v>0.45</v>
      </c>
      <c r="R17" s="9">
        <v>0.33800000000000002</v>
      </c>
      <c r="S17" s="9">
        <v>0.34799999999999998</v>
      </c>
      <c r="T17" s="9"/>
      <c r="U17" s="9">
        <v>0.56000000000000005</v>
      </c>
      <c r="V17" s="9">
        <v>0.88200000000000001</v>
      </c>
      <c r="W17" s="9"/>
      <c r="X17" s="10">
        <v>0.218</v>
      </c>
      <c r="Y17" s="10">
        <v>0.378</v>
      </c>
      <c r="Z17" s="5"/>
      <c r="AA17" s="5"/>
      <c r="AB17" s="5">
        <f t="shared" si="0"/>
        <v>7</v>
      </c>
      <c r="AC17" s="5"/>
      <c r="AD17" s="5">
        <f t="shared" si="1"/>
        <v>14</v>
      </c>
      <c r="AE17" s="5">
        <f t="shared" si="2"/>
        <v>13</v>
      </c>
      <c r="AF17" s="5">
        <f t="shared" si="3"/>
        <v>2</v>
      </c>
      <c r="AG17" s="5">
        <f t="shared" si="4"/>
        <v>14</v>
      </c>
      <c r="AH17" s="5">
        <f t="shared" si="5"/>
        <v>13</v>
      </c>
      <c r="AI17" s="5">
        <f t="shared" si="6"/>
        <v>2</v>
      </c>
      <c r="AJ17" s="5"/>
      <c r="AK17" s="5">
        <f t="shared" si="7"/>
        <v>5</v>
      </c>
      <c r="AL17" s="5">
        <f t="shared" si="8"/>
        <v>13</v>
      </c>
      <c r="AM17" s="5">
        <f t="shared" si="9"/>
        <v>3</v>
      </c>
      <c r="AN17" s="5">
        <f t="shared" si="10"/>
        <v>3</v>
      </c>
      <c r="AO17" s="5">
        <f t="shared" si="11"/>
        <v>12</v>
      </c>
      <c r="AP17" s="5">
        <f t="shared" si="12"/>
        <v>5</v>
      </c>
      <c r="AQ17" s="5"/>
      <c r="AR17" s="5">
        <f t="shared" si="13"/>
        <v>13</v>
      </c>
      <c r="AS17" s="5">
        <f t="shared" si="14"/>
        <v>6</v>
      </c>
      <c r="AT17" s="5"/>
      <c r="AU17" s="5">
        <f t="shared" si="15"/>
        <v>4</v>
      </c>
      <c r="AV17" s="5">
        <f t="shared" si="16"/>
        <v>3</v>
      </c>
    </row>
    <row r="18" spans="1:48" x14ac:dyDescent="0.25">
      <c r="A18" s="6" t="s">
        <v>43</v>
      </c>
      <c r="B18" s="7">
        <v>40</v>
      </c>
      <c r="C18" s="1">
        <v>8000</v>
      </c>
      <c r="D18" s="9">
        <v>0.42499999999999999</v>
      </c>
      <c r="E18" s="9">
        <v>15.4</v>
      </c>
      <c r="F18" s="9"/>
      <c r="G18" s="9">
        <v>0.55000000000000004</v>
      </c>
      <c r="H18" s="9">
        <v>0.129</v>
      </c>
      <c r="I18" s="9">
        <v>0.26800000000000002</v>
      </c>
      <c r="J18" s="9">
        <v>9.4E-2</v>
      </c>
      <c r="K18" s="9">
        <v>0.06</v>
      </c>
      <c r="L18" s="9">
        <v>0.45</v>
      </c>
      <c r="M18" s="9"/>
      <c r="N18" s="9">
        <v>0.48899999999999999</v>
      </c>
      <c r="O18" s="9">
        <v>0.67200000000000004</v>
      </c>
      <c r="P18" s="9">
        <v>0.47</v>
      </c>
      <c r="Q18" s="9">
        <v>0.38700000000000001</v>
      </c>
      <c r="R18" s="9">
        <v>0.34</v>
      </c>
      <c r="S18" s="9">
        <v>0.34699999999999998</v>
      </c>
      <c r="T18" s="9"/>
      <c r="U18" s="9">
        <v>0.53100000000000003</v>
      </c>
      <c r="V18" s="9">
        <v>0.90600000000000003</v>
      </c>
      <c r="W18" s="9"/>
      <c r="X18" s="10">
        <v>0.215</v>
      </c>
      <c r="Y18" s="10">
        <v>0.35399999999999998</v>
      </c>
      <c r="Z18" s="5"/>
      <c r="AA18" s="5"/>
      <c r="AB18" s="5">
        <f t="shared" si="0"/>
        <v>14</v>
      </c>
      <c r="AC18" s="5"/>
      <c r="AD18" s="5">
        <f t="shared" si="1"/>
        <v>15</v>
      </c>
      <c r="AE18" s="5">
        <f t="shared" si="2"/>
        <v>15</v>
      </c>
      <c r="AF18" s="5">
        <f t="shared" si="3"/>
        <v>8</v>
      </c>
      <c r="AG18" s="5">
        <f t="shared" si="4"/>
        <v>4</v>
      </c>
      <c r="AH18" s="5">
        <f t="shared" si="5"/>
        <v>8</v>
      </c>
      <c r="AI18" s="5">
        <f t="shared" si="6"/>
        <v>1</v>
      </c>
      <c r="AJ18" s="5"/>
      <c r="AK18" s="5">
        <f t="shared" si="7"/>
        <v>14</v>
      </c>
      <c r="AL18" s="5">
        <f t="shared" si="8"/>
        <v>8</v>
      </c>
      <c r="AM18" s="5">
        <f t="shared" si="9"/>
        <v>7</v>
      </c>
      <c r="AN18" s="5">
        <f t="shared" si="10"/>
        <v>8</v>
      </c>
      <c r="AO18" s="5">
        <f t="shared" si="11"/>
        <v>10</v>
      </c>
      <c r="AP18" s="5">
        <f t="shared" si="12"/>
        <v>6</v>
      </c>
      <c r="AQ18" s="5"/>
      <c r="AR18" s="5">
        <f t="shared" si="13"/>
        <v>15</v>
      </c>
      <c r="AS18" s="5">
        <f t="shared" si="14"/>
        <v>3</v>
      </c>
      <c r="AT18" s="5"/>
      <c r="AU18" s="5">
        <f t="shared" si="15"/>
        <v>5</v>
      </c>
      <c r="AV18" s="5">
        <f t="shared" si="16"/>
        <v>9</v>
      </c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40</v>
      </c>
      <c r="C24" s="9">
        <f t="shared" ref="C24:Y24" si="17">AVERAGE(C4:C18)</f>
        <v>8046.666666666667</v>
      </c>
      <c r="D24" s="9">
        <f t="shared" si="17"/>
        <v>0.45246666666666668</v>
      </c>
      <c r="E24" s="9">
        <f t="shared" si="17"/>
        <v>13.32666666666667</v>
      </c>
      <c r="F24" s="9"/>
      <c r="G24" s="9">
        <f t="shared" si="17"/>
        <v>0.62880000000000003</v>
      </c>
      <c r="H24" s="9">
        <f t="shared" si="17"/>
        <v>0.2172</v>
      </c>
      <c r="I24" s="9">
        <f t="shared" si="17"/>
        <v>0.26419999999999993</v>
      </c>
      <c r="J24" s="9">
        <f t="shared" si="17"/>
        <v>9.006666666666667E-2</v>
      </c>
      <c r="K24" s="9">
        <f t="shared" si="17"/>
        <v>5.7400000000000014E-2</v>
      </c>
      <c r="L24" s="9">
        <f t="shared" si="17"/>
        <v>0.37119999999999997</v>
      </c>
      <c r="M24" s="9"/>
      <c r="N24" s="9">
        <f t="shared" si="17"/>
        <v>0.51866666666666661</v>
      </c>
      <c r="O24" s="9">
        <f t="shared" si="17"/>
        <v>0.67913333333333348</v>
      </c>
      <c r="P24" s="9">
        <f t="shared" si="17"/>
        <v>0.45980000000000004</v>
      </c>
      <c r="Q24" s="9">
        <f t="shared" si="17"/>
        <v>0.39079999999999998</v>
      </c>
      <c r="R24" s="9">
        <f t="shared" si="17"/>
        <v>0.3614666666666666</v>
      </c>
      <c r="S24" s="9">
        <f t="shared" si="17"/>
        <v>0.33986666666666659</v>
      </c>
      <c r="T24" s="9"/>
      <c r="U24" s="9">
        <f t="shared" si="17"/>
        <v>0.58646666666666658</v>
      </c>
      <c r="V24" s="9">
        <f t="shared" si="17"/>
        <v>0.86246666666666649</v>
      </c>
      <c r="W24" s="9"/>
      <c r="X24" s="9">
        <f t="shared" si="17"/>
        <v>0.19593333333333335</v>
      </c>
      <c r="Y24" s="9">
        <f t="shared" si="17"/>
        <v>0.35320000000000007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U2:V2"/>
    <mergeCell ref="X2:Y2"/>
    <mergeCell ref="A1:Y1"/>
    <mergeCell ref="AB1:AV1"/>
    <mergeCell ref="G2:L2"/>
    <mergeCell ref="AD2:AI2"/>
    <mergeCell ref="AK2:AP2"/>
    <mergeCell ref="AR2:AS2"/>
    <mergeCell ref="N2:S2"/>
  </mergeCells>
  <pageMargins left="0.7" right="0.7" top="0.75" bottom="0.75" header="0" footer="0"/>
  <pageSetup orientation="landscape" r:id="rId1"/>
  <ignoredErrors>
    <ignoredError sqref="J3 Q3 AG3 AN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B1" s="18" t="s">
        <v>57</v>
      </c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</row>
    <row r="2" spans="1:48" ht="26.25" x14ac:dyDescent="0.4">
      <c r="A2" s="11"/>
      <c r="B2" s="14"/>
      <c r="C2" s="14"/>
      <c r="D2" s="14"/>
      <c r="E2" s="14"/>
      <c r="F2" s="14"/>
      <c r="G2" s="17" t="s">
        <v>37</v>
      </c>
      <c r="H2" s="17"/>
      <c r="I2" s="17"/>
      <c r="J2" s="17"/>
      <c r="K2" s="17"/>
      <c r="L2" s="17"/>
      <c r="M2" s="14"/>
      <c r="N2" s="17" t="s">
        <v>38</v>
      </c>
      <c r="O2" s="17"/>
      <c r="P2" s="17"/>
      <c r="Q2" s="17"/>
      <c r="R2" s="17"/>
      <c r="S2" s="17"/>
      <c r="T2" s="14"/>
      <c r="U2" s="17" t="s">
        <v>39</v>
      </c>
      <c r="V2" s="17"/>
      <c r="W2" s="14"/>
      <c r="X2" s="17" t="s">
        <v>40</v>
      </c>
      <c r="Y2" s="17"/>
      <c r="AB2" s="16"/>
      <c r="AC2" s="16"/>
      <c r="AD2" s="17" t="s">
        <v>37</v>
      </c>
      <c r="AE2" s="17"/>
      <c r="AF2" s="17"/>
      <c r="AG2" s="17"/>
      <c r="AH2" s="17"/>
      <c r="AI2" s="17"/>
      <c r="AJ2" s="12"/>
      <c r="AK2" s="17" t="s">
        <v>38</v>
      </c>
      <c r="AL2" s="17"/>
      <c r="AM2" s="17"/>
      <c r="AN2" s="17"/>
      <c r="AO2" s="17"/>
      <c r="AP2" s="17"/>
      <c r="AQ2" s="12"/>
      <c r="AR2" s="17" t="s">
        <v>39</v>
      </c>
      <c r="AS2" s="17"/>
      <c r="AT2" s="12"/>
      <c r="AU2" s="17" t="s">
        <v>40</v>
      </c>
      <c r="AV2" s="17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45</v>
      </c>
      <c r="B4" s="7">
        <v>40</v>
      </c>
      <c r="C4" s="1">
        <v>8100</v>
      </c>
      <c r="D4" s="9">
        <v>0.46100000000000002</v>
      </c>
      <c r="E4" s="9">
        <v>12</v>
      </c>
      <c r="F4" s="9"/>
      <c r="G4" s="9">
        <v>0.67100000000000004</v>
      </c>
      <c r="H4" s="9">
        <v>0.25700000000000001</v>
      </c>
      <c r="I4" s="9">
        <v>0.26400000000000001</v>
      </c>
      <c r="J4" s="9">
        <v>9.4E-2</v>
      </c>
      <c r="K4" s="9">
        <v>5.7000000000000002E-2</v>
      </c>
      <c r="L4" s="9">
        <v>0.32900000000000001</v>
      </c>
      <c r="M4" s="9"/>
      <c r="N4" s="9">
        <v>0.52300000000000002</v>
      </c>
      <c r="O4" s="9">
        <v>0.64100000000000001</v>
      </c>
      <c r="P4" s="9">
        <v>0.47799999999999998</v>
      </c>
      <c r="Q4" s="9">
        <v>0.40799999999999997</v>
      </c>
      <c r="R4" s="9">
        <v>0.39100000000000001</v>
      </c>
      <c r="S4" s="9">
        <v>0.33200000000000002</v>
      </c>
      <c r="T4" s="9"/>
      <c r="U4" s="9">
        <v>0.55800000000000005</v>
      </c>
      <c r="V4" s="9">
        <v>0.877</v>
      </c>
      <c r="W4" s="9"/>
      <c r="X4" s="10">
        <v>0.20599999999999999</v>
      </c>
      <c r="Y4" s="10">
        <v>0.35399999999999998</v>
      </c>
      <c r="Z4" s="5"/>
      <c r="AA4" s="5"/>
      <c r="AB4" s="5">
        <f t="shared" ref="AB4:AB18" si="0">RANK(D4,D$4:D$18,1)</f>
        <v>9</v>
      </c>
      <c r="AC4" s="5"/>
      <c r="AD4" s="5">
        <f t="shared" ref="AD4:AD18" si="1">RANK(G4,G$4:G$18,1)</f>
        <v>15</v>
      </c>
      <c r="AE4" s="5">
        <f t="shared" ref="AE4:AE18" si="2">RANK(H4,H$4:H$18,1)</f>
        <v>12</v>
      </c>
      <c r="AF4" s="5">
        <f t="shared" ref="AF4:AF18" si="3">RANK(I4,I$4:I$18,1)</f>
        <v>7</v>
      </c>
      <c r="AG4" s="5">
        <f t="shared" ref="AG4:AG18" si="4">RANK(J4,J$4:J$18,1)</f>
        <v>11</v>
      </c>
      <c r="AH4" s="5">
        <f t="shared" ref="AH4:AH18" si="5">RANK(K4,K$4:K$18,1)</f>
        <v>7</v>
      </c>
      <c r="AI4" s="5">
        <f t="shared" ref="AI4:AI18" si="6">RANK(L4,L$4:L$18,1)</f>
        <v>1</v>
      </c>
      <c r="AJ4" s="5"/>
      <c r="AK4" s="5">
        <f t="shared" ref="AK4:AK18" si="7">RANK(N4,N$4:N$18,1)</f>
        <v>9</v>
      </c>
      <c r="AL4" s="5">
        <f t="shared" ref="AL4:AL18" si="8">RANK(O4,O$4:O$18,1)</f>
        <v>2</v>
      </c>
      <c r="AM4" s="5">
        <f t="shared" ref="AM4:AM18" si="9">RANK(P4,P$4:P$18,1)</f>
        <v>11</v>
      </c>
      <c r="AN4" s="5">
        <f t="shared" ref="AN4:AN18" si="10">RANK(Q4,Q$4:Q$18,1)</f>
        <v>8</v>
      </c>
      <c r="AO4" s="5">
        <f t="shared" ref="AO4:AO18" si="11">RANK(R4,R$4:R$18,1)</f>
        <v>9</v>
      </c>
      <c r="AP4" s="5">
        <f t="shared" ref="AP4:AP18" si="12">RANK(S4,S$4:S$18,1)</f>
        <v>5</v>
      </c>
      <c r="AQ4" s="5"/>
      <c r="AR4" s="5">
        <f t="shared" ref="AR4:AR18" si="13">RANK(U4,U$4:U$18,1)</f>
        <v>3</v>
      </c>
      <c r="AS4" s="5">
        <f t="shared" ref="AS4:AS18" si="14">RANK(V4,V$4:V$18,1)</f>
        <v>13</v>
      </c>
      <c r="AT4" s="5"/>
      <c r="AU4" s="5">
        <f>RANK(X4,X$4:X$18,1)</f>
        <v>10</v>
      </c>
      <c r="AV4" s="5">
        <f>RANK(Y4,Y$4:Y$18,1)</f>
        <v>7</v>
      </c>
    </row>
    <row r="5" spans="1:48" x14ac:dyDescent="0.25">
      <c r="A5" s="6" t="s">
        <v>49</v>
      </c>
      <c r="B5" s="7">
        <v>40</v>
      </c>
      <c r="C5" s="1">
        <v>8050</v>
      </c>
      <c r="D5" s="9">
        <v>0.44500000000000001</v>
      </c>
      <c r="E5" s="9">
        <v>13</v>
      </c>
      <c r="F5" s="9"/>
      <c r="G5" s="9">
        <v>0.65600000000000003</v>
      </c>
      <c r="H5" s="9">
        <v>0.29199999999999998</v>
      </c>
      <c r="I5" s="9">
        <v>0.21299999999999999</v>
      </c>
      <c r="J5" s="9">
        <v>8.5999999999999993E-2</v>
      </c>
      <c r="K5" s="9">
        <v>6.5000000000000002E-2</v>
      </c>
      <c r="L5" s="9">
        <v>0.34399999999999997</v>
      </c>
      <c r="M5" s="9"/>
      <c r="N5" s="9">
        <v>0.50800000000000001</v>
      </c>
      <c r="O5" s="9">
        <v>0.65300000000000002</v>
      </c>
      <c r="P5" s="9">
        <v>0.41499999999999998</v>
      </c>
      <c r="Q5" s="9">
        <v>0.36599999999999999</v>
      </c>
      <c r="R5" s="9">
        <v>0.35699999999999998</v>
      </c>
      <c r="S5" s="9">
        <v>0.32400000000000001</v>
      </c>
      <c r="T5" s="9"/>
      <c r="U5" s="9">
        <v>0.57599999999999996</v>
      </c>
      <c r="V5" s="9">
        <v>0.85099999999999998</v>
      </c>
      <c r="W5" s="9"/>
      <c r="X5" s="10">
        <v>0.20599999999999999</v>
      </c>
      <c r="Y5" s="10">
        <v>0.318</v>
      </c>
      <c r="Z5" s="5"/>
      <c r="AA5" s="5"/>
      <c r="AB5" s="5">
        <f t="shared" si="0"/>
        <v>5</v>
      </c>
      <c r="AC5" s="5"/>
      <c r="AD5" s="5">
        <f t="shared" si="1"/>
        <v>14</v>
      </c>
      <c r="AE5" s="5">
        <f t="shared" si="2"/>
        <v>15</v>
      </c>
      <c r="AF5" s="5">
        <f t="shared" si="3"/>
        <v>2</v>
      </c>
      <c r="AG5" s="5">
        <f t="shared" si="4"/>
        <v>3</v>
      </c>
      <c r="AH5" s="5">
        <f t="shared" si="5"/>
        <v>10</v>
      </c>
      <c r="AI5" s="5">
        <f t="shared" si="6"/>
        <v>2</v>
      </c>
      <c r="AJ5" s="5"/>
      <c r="AK5" s="5">
        <f t="shared" si="7"/>
        <v>6</v>
      </c>
      <c r="AL5" s="5">
        <f t="shared" si="8"/>
        <v>6</v>
      </c>
      <c r="AM5" s="5">
        <f t="shared" si="9"/>
        <v>1</v>
      </c>
      <c r="AN5" s="5">
        <f t="shared" si="10"/>
        <v>2</v>
      </c>
      <c r="AO5" s="5">
        <f t="shared" si="11"/>
        <v>6</v>
      </c>
      <c r="AP5" s="5">
        <f t="shared" si="12"/>
        <v>2</v>
      </c>
      <c r="AQ5" s="5"/>
      <c r="AR5" s="5">
        <f t="shared" si="13"/>
        <v>5</v>
      </c>
      <c r="AS5" s="5">
        <f t="shared" si="14"/>
        <v>4</v>
      </c>
      <c r="AT5" s="5"/>
      <c r="AU5" s="5">
        <f t="shared" ref="AU5:AU18" si="15">RANK(X5,X$4:X$18,1)</f>
        <v>10</v>
      </c>
      <c r="AV5" s="5">
        <f t="shared" ref="AV5:AV18" si="16">RANK(Y5,Y$4:Y$18,1)</f>
        <v>4</v>
      </c>
    </row>
    <row r="6" spans="1:48" x14ac:dyDescent="0.25">
      <c r="A6" s="6" t="s">
        <v>56</v>
      </c>
      <c r="B6" s="7">
        <v>40</v>
      </c>
      <c r="C6" s="1">
        <v>8050</v>
      </c>
      <c r="D6" s="9">
        <v>0.45</v>
      </c>
      <c r="E6" s="9">
        <v>13</v>
      </c>
      <c r="F6" s="9"/>
      <c r="G6" s="9">
        <v>0.64700000000000002</v>
      </c>
      <c r="H6" s="9">
        <v>0.20200000000000001</v>
      </c>
      <c r="I6" s="9">
        <v>0.29199999999999998</v>
      </c>
      <c r="J6" s="9">
        <v>8.7999999999999995E-2</v>
      </c>
      <c r="K6" s="9">
        <v>6.5000000000000002E-2</v>
      </c>
      <c r="L6" s="9">
        <v>0.35299999999999998</v>
      </c>
      <c r="M6" s="9"/>
      <c r="N6" s="9">
        <v>0.51200000000000001</v>
      </c>
      <c r="O6" s="9">
        <v>0.68</v>
      </c>
      <c r="P6" s="9">
        <v>0.46500000000000002</v>
      </c>
      <c r="Q6" s="9">
        <v>0.42599999999999999</v>
      </c>
      <c r="R6" s="9">
        <v>0.32</v>
      </c>
      <c r="S6" s="9">
        <v>0.33600000000000002</v>
      </c>
      <c r="T6" s="9"/>
      <c r="U6" s="9">
        <v>0.56699999999999995</v>
      </c>
      <c r="V6" s="9">
        <v>0.82899999999999996</v>
      </c>
      <c r="W6" s="9"/>
      <c r="X6" s="10">
        <v>0.14899999999999999</v>
      </c>
      <c r="Y6" s="10">
        <v>0.38600000000000001</v>
      </c>
      <c r="Z6" s="5"/>
      <c r="AA6" s="5"/>
      <c r="AB6" s="5">
        <f t="shared" si="0"/>
        <v>7</v>
      </c>
      <c r="AC6" s="5"/>
      <c r="AD6" s="5">
        <f t="shared" si="1"/>
        <v>13</v>
      </c>
      <c r="AE6" s="5">
        <f t="shared" si="2"/>
        <v>7</v>
      </c>
      <c r="AF6" s="5">
        <f t="shared" si="3"/>
        <v>11</v>
      </c>
      <c r="AG6" s="5">
        <f t="shared" si="4"/>
        <v>6</v>
      </c>
      <c r="AH6" s="5">
        <f t="shared" si="5"/>
        <v>10</v>
      </c>
      <c r="AI6" s="5">
        <f t="shared" si="6"/>
        <v>3</v>
      </c>
      <c r="AJ6" s="5"/>
      <c r="AK6" s="5">
        <f t="shared" si="7"/>
        <v>8</v>
      </c>
      <c r="AL6" s="5">
        <f t="shared" si="8"/>
        <v>7</v>
      </c>
      <c r="AM6" s="5">
        <f t="shared" si="9"/>
        <v>8</v>
      </c>
      <c r="AN6" s="5">
        <f t="shared" si="10"/>
        <v>12</v>
      </c>
      <c r="AO6" s="5">
        <f t="shared" si="11"/>
        <v>2</v>
      </c>
      <c r="AP6" s="5">
        <f t="shared" si="12"/>
        <v>6</v>
      </c>
      <c r="AQ6" s="5"/>
      <c r="AR6" s="5">
        <f t="shared" si="13"/>
        <v>4</v>
      </c>
      <c r="AS6" s="5">
        <f t="shared" si="14"/>
        <v>3</v>
      </c>
      <c r="AT6" s="5"/>
      <c r="AU6" s="5">
        <f t="shared" si="15"/>
        <v>1</v>
      </c>
      <c r="AV6" s="5">
        <f t="shared" si="16"/>
        <v>12</v>
      </c>
    </row>
    <row r="7" spans="1:48" x14ac:dyDescent="0.25">
      <c r="A7" s="6" t="s">
        <v>55</v>
      </c>
      <c r="B7" s="7">
        <v>40</v>
      </c>
      <c r="C7" s="1">
        <v>8025</v>
      </c>
      <c r="D7" s="9">
        <v>0.46800000000000003</v>
      </c>
      <c r="E7" s="9">
        <v>13</v>
      </c>
      <c r="F7" s="9"/>
      <c r="G7" s="9">
        <v>0.64600000000000002</v>
      </c>
      <c r="H7" s="9">
        <v>0.219</v>
      </c>
      <c r="I7" s="9">
        <v>0.29499999999999998</v>
      </c>
      <c r="J7" s="9">
        <v>8.5999999999999993E-2</v>
      </c>
      <c r="K7" s="9">
        <v>4.4999999999999998E-2</v>
      </c>
      <c r="L7" s="9">
        <v>0.35399999999999998</v>
      </c>
      <c r="M7" s="9"/>
      <c r="N7" s="9">
        <v>0.52700000000000002</v>
      </c>
      <c r="O7" s="9">
        <v>0.65100000000000002</v>
      </c>
      <c r="P7" s="9">
        <v>0.50800000000000001</v>
      </c>
      <c r="Q7" s="9">
        <v>0.377</v>
      </c>
      <c r="R7" s="9">
        <v>0.34200000000000003</v>
      </c>
      <c r="S7" s="9">
        <v>0.35899999999999999</v>
      </c>
      <c r="T7" s="9"/>
      <c r="U7" s="9">
        <v>0.58599999999999997</v>
      </c>
      <c r="V7" s="9">
        <v>0.86399999999999999</v>
      </c>
      <c r="W7" s="9"/>
      <c r="X7" s="10">
        <v>0.183</v>
      </c>
      <c r="Y7" s="10">
        <v>0.308</v>
      </c>
      <c r="Z7" s="5"/>
      <c r="AA7" s="5"/>
      <c r="AB7" s="5">
        <f t="shared" si="0"/>
        <v>12</v>
      </c>
      <c r="AC7" s="5"/>
      <c r="AD7" s="5">
        <f t="shared" si="1"/>
        <v>12</v>
      </c>
      <c r="AE7" s="5">
        <f t="shared" si="2"/>
        <v>9</v>
      </c>
      <c r="AF7" s="5">
        <f t="shared" si="3"/>
        <v>13</v>
      </c>
      <c r="AG7" s="5">
        <f t="shared" si="4"/>
        <v>3</v>
      </c>
      <c r="AH7" s="5">
        <f t="shared" si="5"/>
        <v>2</v>
      </c>
      <c r="AI7" s="5">
        <f t="shared" si="6"/>
        <v>4</v>
      </c>
      <c r="AJ7" s="5"/>
      <c r="AK7" s="5">
        <f t="shared" si="7"/>
        <v>10</v>
      </c>
      <c r="AL7" s="5">
        <f t="shared" si="8"/>
        <v>5</v>
      </c>
      <c r="AM7" s="5">
        <f t="shared" si="9"/>
        <v>15</v>
      </c>
      <c r="AN7" s="5">
        <f t="shared" si="10"/>
        <v>4</v>
      </c>
      <c r="AO7" s="5">
        <f t="shared" si="11"/>
        <v>5</v>
      </c>
      <c r="AP7" s="5">
        <f t="shared" si="12"/>
        <v>14</v>
      </c>
      <c r="AQ7" s="5"/>
      <c r="AR7" s="5">
        <f t="shared" si="13"/>
        <v>6</v>
      </c>
      <c r="AS7" s="5">
        <f t="shared" si="14"/>
        <v>7</v>
      </c>
      <c r="AT7" s="5"/>
      <c r="AU7" s="5">
        <f t="shared" si="15"/>
        <v>4</v>
      </c>
      <c r="AV7" s="5">
        <f t="shared" si="16"/>
        <v>2</v>
      </c>
    </row>
    <row r="8" spans="1:48" x14ac:dyDescent="0.25">
      <c r="A8" s="6" t="s">
        <v>44</v>
      </c>
      <c r="B8" s="7">
        <v>40</v>
      </c>
      <c r="C8" s="1">
        <v>8025</v>
      </c>
      <c r="D8" s="9">
        <v>0.47499999999999998</v>
      </c>
      <c r="E8" s="9">
        <v>13</v>
      </c>
      <c r="F8" s="9"/>
      <c r="G8" s="9">
        <v>0.64400000000000002</v>
      </c>
      <c r="H8" s="9">
        <v>0.27400000000000002</v>
      </c>
      <c r="I8" s="9">
        <v>0.219</v>
      </c>
      <c r="J8" s="9">
        <v>9.2999999999999999E-2</v>
      </c>
      <c r="K8" s="9">
        <v>5.8000000000000003E-2</v>
      </c>
      <c r="L8" s="9">
        <v>0.35599999999999998</v>
      </c>
      <c r="M8" s="9"/>
      <c r="N8" s="9">
        <v>0.53600000000000003</v>
      </c>
      <c r="O8" s="9">
        <v>0.68300000000000005</v>
      </c>
      <c r="P8" s="9">
        <v>0.43099999999999999</v>
      </c>
      <c r="Q8" s="9">
        <v>0.42899999999999999</v>
      </c>
      <c r="R8" s="9">
        <v>0.41299999999999998</v>
      </c>
      <c r="S8" s="9">
        <v>0.36499999999999999</v>
      </c>
      <c r="T8" s="9"/>
      <c r="U8" s="9">
        <v>0.55500000000000005</v>
      </c>
      <c r="V8" s="9">
        <v>0.81</v>
      </c>
      <c r="W8" s="9"/>
      <c r="X8" s="10">
        <v>0.192</v>
      </c>
      <c r="Y8" s="10">
        <v>0.36199999999999999</v>
      </c>
      <c r="Z8" s="5"/>
      <c r="AA8" s="5"/>
      <c r="AB8" s="5">
        <f t="shared" si="0"/>
        <v>15</v>
      </c>
      <c r="AC8" s="5"/>
      <c r="AD8" s="5">
        <f t="shared" si="1"/>
        <v>11</v>
      </c>
      <c r="AE8" s="5">
        <f t="shared" si="2"/>
        <v>13</v>
      </c>
      <c r="AF8" s="5">
        <f t="shared" si="3"/>
        <v>3</v>
      </c>
      <c r="AG8" s="5">
        <f t="shared" si="4"/>
        <v>10</v>
      </c>
      <c r="AH8" s="5">
        <f t="shared" si="5"/>
        <v>8</v>
      </c>
      <c r="AI8" s="5">
        <f t="shared" si="6"/>
        <v>5</v>
      </c>
      <c r="AJ8" s="5"/>
      <c r="AK8" s="5">
        <f t="shared" si="7"/>
        <v>12</v>
      </c>
      <c r="AL8" s="5">
        <f t="shared" si="8"/>
        <v>10</v>
      </c>
      <c r="AM8" s="5">
        <f t="shared" si="9"/>
        <v>3</v>
      </c>
      <c r="AN8" s="5">
        <f t="shared" si="10"/>
        <v>14</v>
      </c>
      <c r="AO8" s="5">
        <f t="shared" si="11"/>
        <v>12</v>
      </c>
      <c r="AP8" s="5">
        <f t="shared" si="12"/>
        <v>15</v>
      </c>
      <c r="AQ8" s="5"/>
      <c r="AR8" s="5">
        <f t="shared" si="13"/>
        <v>2</v>
      </c>
      <c r="AS8" s="5">
        <f t="shared" si="14"/>
        <v>2</v>
      </c>
      <c r="AT8" s="5"/>
      <c r="AU8" s="5">
        <f t="shared" si="15"/>
        <v>6</v>
      </c>
      <c r="AV8" s="5">
        <f t="shared" si="16"/>
        <v>8</v>
      </c>
    </row>
    <row r="9" spans="1:48" x14ac:dyDescent="0.25">
      <c r="A9" s="6" t="s">
        <v>46</v>
      </c>
      <c r="B9" s="7">
        <v>40</v>
      </c>
      <c r="C9" s="1">
        <v>8050</v>
      </c>
      <c r="D9" s="9">
        <v>0.44600000000000001</v>
      </c>
      <c r="E9" s="9">
        <v>13</v>
      </c>
      <c r="F9" s="9"/>
      <c r="G9" s="9">
        <v>0.63900000000000001</v>
      </c>
      <c r="H9" s="9">
        <v>0.17399999999999999</v>
      </c>
      <c r="I9" s="9">
        <v>0.32100000000000001</v>
      </c>
      <c r="J9" s="9">
        <v>9.0999999999999998E-2</v>
      </c>
      <c r="K9" s="9">
        <v>5.3999999999999999E-2</v>
      </c>
      <c r="L9" s="9">
        <v>0.36099999999999999</v>
      </c>
      <c r="M9" s="9"/>
      <c r="N9" s="9">
        <v>0.498</v>
      </c>
      <c r="O9" s="9">
        <v>0.64300000000000002</v>
      </c>
      <c r="P9" s="9">
        <v>0.47799999999999998</v>
      </c>
      <c r="Q9" s="9">
        <v>0.39100000000000001</v>
      </c>
      <c r="R9" s="9">
        <v>0.32900000000000001</v>
      </c>
      <c r="S9" s="9">
        <v>0.35399999999999998</v>
      </c>
      <c r="T9" s="9"/>
      <c r="U9" s="9">
        <v>0.53200000000000003</v>
      </c>
      <c r="V9" s="9">
        <v>0.80600000000000005</v>
      </c>
      <c r="W9" s="9"/>
      <c r="X9" s="10">
        <v>0.17899999999999999</v>
      </c>
      <c r="Y9" s="10">
        <v>0.36699999999999999</v>
      </c>
      <c r="Z9" s="5"/>
      <c r="AA9" s="5"/>
      <c r="AB9" s="5">
        <f t="shared" si="0"/>
        <v>6</v>
      </c>
      <c r="AC9" s="5"/>
      <c r="AD9" s="5">
        <f t="shared" si="1"/>
        <v>10</v>
      </c>
      <c r="AE9" s="5">
        <f t="shared" si="2"/>
        <v>3</v>
      </c>
      <c r="AF9" s="5">
        <f t="shared" si="3"/>
        <v>15</v>
      </c>
      <c r="AG9" s="5">
        <f t="shared" si="4"/>
        <v>8</v>
      </c>
      <c r="AH9" s="5">
        <f t="shared" si="5"/>
        <v>5</v>
      </c>
      <c r="AI9" s="5">
        <f t="shared" si="6"/>
        <v>6</v>
      </c>
      <c r="AJ9" s="5"/>
      <c r="AK9" s="5">
        <f t="shared" si="7"/>
        <v>3</v>
      </c>
      <c r="AL9" s="5">
        <f t="shared" si="8"/>
        <v>3</v>
      </c>
      <c r="AM9" s="5">
        <f t="shared" si="9"/>
        <v>11</v>
      </c>
      <c r="AN9" s="5">
        <f t="shared" si="10"/>
        <v>6</v>
      </c>
      <c r="AO9" s="5">
        <f t="shared" si="11"/>
        <v>4</v>
      </c>
      <c r="AP9" s="5">
        <f t="shared" si="12"/>
        <v>12</v>
      </c>
      <c r="AQ9" s="5"/>
      <c r="AR9" s="5">
        <f t="shared" si="13"/>
        <v>1</v>
      </c>
      <c r="AS9" s="5">
        <f t="shared" si="14"/>
        <v>1</v>
      </c>
      <c r="AT9" s="5"/>
      <c r="AU9" s="5">
        <f t="shared" si="15"/>
        <v>3</v>
      </c>
      <c r="AV9" s="5">
        <f t="shared" si="16"/>
        <v>9</v>
      </c>
    </row>
    <row r="10" spans="1:48" x14ac:dyDescent="0.25">
      <c r="A10" s="6" t="s">
        <v>47</v>
      </c>
      <c r="B10" s="7">
        <v>40</v>
      </c>
      <c r="C10" s="1">
        <v>8050</v>
      </c>
      <c r="D10" s="9">
        <v>0.45200000000000001</v>
      </c>
      <c r="E10" s="9">
        <v>14</v>
      </c>
      <c r="F10" s="9"/>
      <c r="G10" s="9">
        <v>0.63</v>
      </c>
      <c r="H10" s="9">
        <v>0.188</v>
      </c>
      <c r="I10" s="9">
        <v>0.26500000000000001</v>
      </c>
      <c r="J10" s="9">
        <v>0.11</v>
      </c>
      <c r="K10" s="9">
        <v>6.8000000000000005E-2</v>
      </c>
      <c r="L10" s="9">
        <v>0.37</v>
      </c>
      <c r="M10" s="9"/>
      <c r="N10" s="9">
        <v>0.51100000000000001</v>
      </c>
      <c r="O10" s="9">
        <v>0.68500000000000005</v>
      </c>
      <c r="P10" s="9">
        <v>0.45400000000000001</v>
      </c>
      <c r="Q10" s="9">
        <v>0.41299999999999998</v>
      </c>
      <c r="R10" s="9">
        <v>0.41099999999999998</v>
      </c>
      <c r="S10" s="9">
        <v>0.35199999999999998</v>
      </c>
      <c r="T10" s="9"/>
      <c r="U10" s="9">
        <v>0.59399999999999997</v>
      </c>
      <c r="V10" s="9">
        <v>0.86699999999999999</v>
      </c>
      <c r="W10" s="9"/>
      <c r="X10" s="10">
        <v>0.20799999999999999</v>
      </c>
      <c r="Y10" s="10">
        <v>0.39900000000000002</v>
      </c>
      <c r="Z10" s="5"/>
      <c r="AA10" s="5"/>
      <c r="AB10" s="5">
        <f t="shared" si="0"/>
        <v>8</v>
      </c>
      <c r="AC10" s="5"/>
      <c r="AD10" s="5">
        <f t="shared" si="1"/>
        <v>9</v>
      </c>
      <c r="AE10" s="5">
        <f t="shared" si="2"/>
        <v>5</v>
      </c>
      <c r="AF10" s="5">
        <f t="shared" si="3"/>
        <v>8</v>
      </c>
      <c r="AG10" s="5">
        <f t="shared" si="4"/>
        <v>15</v>
      </c>
      <c r="AH10" s="5">
        <f t="shared" si="5"/>
        <v>15</v>
      </c>
      <c r="AI10" s="5">
        <f t="shared" si="6"/>
        <v>7</v>
      </c>
      <c r="AJ10" s="5"/>
      <c r="AK10" s="5">
        <f t="shared" si="7"/>
        <v>7</v>
      </c>
      <c r="AL10" s="5">
        <f t="shared" si="8"/>
        <v>11</v>
      </c>
      <c r="AM10" s="5">
        <f t="shared" si="9"/>
        <v>7</v>
      </c>
      <c r="AN10" s="5">
        <f t="shared" si="10"/>
        <v>10</v>
      </c>
      <c r="AO10" s="5">
        <f t="shared" si="11"/>
        <v>11</v>
      </c>
      <c r="AP10" s="5">
        <f t="shared" si="12"/>
        <v>11</v>
      </c>
      <c r="AQ10" s="5"/>
      <c r="AR10" s="5">
        <f t="shared" si="13"/>
        <v>9</v>
      </c>
      <c r="AS10" s="5">
        <f t="shared" si="14"/>
        <v>9</v>
      </c>
      <c r="AT10" s="5"/>
      <c r="AU10" s="5">
        <f t="shared" si="15"/>
        <v>12</v>
      </c>
      <c r="AV10" s="5">
        <f t="shared" si="16"/>
        <v>14</v>
      </c>
    </row>
    <row r="11" spans="1:48" x14ac:dyDescent="0.25">
      <c r="A11" s="6" t="s">
        <v>48</v>
      </c>
      <c r="B11" s="7">
        <v>40</v>
      </c>
      <c r="C11" s="1">
        <v>8150</v>
      </c>
      <c r="D11" s="9">
        <v>0.432</v>
      </c>
      <c r="E11" s="9">
        <v>14</v>
      </c>
      <c r="F11" s="9"/>
      <c r="G11" s="9">
        <v>0.626</v>
      </c>
      <c r="H11" s="9">
        <v>0.17</v>
      </c>
      <c r="I11" s="9">
        <v>0.29199999999999998</v>
      </c>
      <c r="J11" s="9">
        <v>9.9000000000000005E-2</v>
      </c>
      <c r="K11" s="9">
        <v>6.5000000000000002E-2</v>
      </c>
      <c r="L11" s="9">
        <v>0.374</v>
      </c>
      <c r="M11" s="9"/>
      <c r="N11" s="9">
        <v>0.49</v>
      </c>
      <c r="O11" s="9">
        <v>0.68100000000000005</v>
      </c>
      <c r="P11" s="9">
        <v>0.438</v>
      </c>
      <c r="Q11" s="9">
        <v>0.379</v>
      </c>
      <c r="R11" s="9">
        <v>0.39400000000000002</v>
      </c>
      <c r="S11" s="9">
        <v>0.33600000000000002</v>
      </c>
      <c r="T11" s="9"/>
      <c r="U11" s="9">
        <v>0.58699999999999997</v>
      </c>
      <c r="V11" s="9">
        <v>0.87</v>
      </c>
      <c r="W11" s="9"/>
      <c r="X11" s="10">
        <v>0.21099999999999999</v>
      </c>
      <c r="Y11" s="10">
        <v>0.378</v>
      </c>
      <c r="Z11" s="5"/>
      <c r="AA11" s="5"/>
      <c r="AB11" s="5">
        <f t="shared" si="0"/>
        <v>2</v>
      </c>
      <c r="AC11" s="5"/>
      <c r="AD11" s="5">
        <f t="shared" si="1"/>
        <v>8</v>
      </c>
      <c r="AE11" s="5">
        <f t="shared" si="2"/>
        <v>2</v>
      </c>
      <c r="AF11" s="5">
        <f t="shared" si="3"/>
        <v>11</v>
      </c>
      <c r="AG11" s="5">
        <f t="shared" si="4"/>
        <v>14</v>
      </c>
      <c r="AH11" s="5">
        <f t="shared" si="5"/>
        <v>10</v>
      </c>
      <c r="AI11" s="5">
        <f t="shared" si="6"/>
        <v>8</v>
      </c>
      <c r="AJ11" s="5"/>
      <c r="AK11" s="5">
        <f t="shared" si="7"/>
        <v>2</v>
      </c>
      <c r="AL11" s="5">
        <f t="shared" si="8"/>
        <v>9</v>
      </c>
      <c r="AM11" s="5">
        <f t="shared" si="9"/>
        <v>4</v>
      </c>
      <c r="AN11" s="5">
        <f t="shared" si="10"/>
        <v>5</v>
      </c>
      <c r="AO11" s="5">
        <f t="shared" si="11"/>
        <v>10</v>
      </c>
      <c r="AP11" s="5">
        <f t="shared" si="12"/>
        <v>6</v>
      </c>
      <c r="AQ11" s="5"/>
      <c r="AR11" s="5">
        <f t="shared" si="13"/>
        <v>7</v>
      </c>
      <c r="AS11" s="5">
        <f t="shared" si="14"/>
        <v>11</v>
      </c>
      <c r="AT11" s="5"/>
      <c r="AU11" s="5">
        <f t="shared" si="15"/>
        <v>13</v>
      </c>
      <c r="AV11" s="5">
        <f t="shared" si="16"/>
        <v>11</v>
      </c>
    </row>
    <row r="12" spans="1:48" x14ac:dyDescent="0.25">
      <c r="A12" s="6" t="s">
        <v>53</v>
      </c>
      <c r="B12" s="7">
        <v>40</v>
      </c>
      <c r="C12" s="1">
        <v>8025</v>
      </c>
      <c r="D12" s="9">
        <v>0.47299999999999998</v>
      </c>
      <c r="E12" s="9">
        <v>13</v>
      </c>
      <c r="F12" s="9"/>
      <c r="G12" s="9">
        <v>0.624</v>
      </c>
      <c r="H12" s="9">
        <v>0.23400000000000001</v>
      </c>
      <c r="I12" s="9">
        <v>0.24399999999999999</v>
      </c>
      <c r="J12" s="9">
        <v>8.6999999999999994E-2</v>
      </c>
      <c r="K12" s="9">
        <v>0.06</v>
      </c>
      <c r="L12" s="9">
        <v>0.376</v>
      </c>
      <c r="M12" s="9"/>
      <c r="N12" s="9">
        <v>0.55400000000000005</v>
      </c>
      <c r="O12" s="9">
        <v>0.72899999999999998</v>
      </c>
      <c r="P12" s="9">
        <v>0.48799999999999999</v>
      </c>
      <c r="Q12" s="9">
        <v>0.36599999999999999</v>
      </c>
      <c r="R12" s="9">
        <v>0.41399999999999998</v>
      </c>
      <c r="S12" s="9">
        <v>0.33800000000000002</v>
      </c>
      <c r="T12" s="9"/>
      <c r="U12" s="9">
        <v>0.59499999999999997</v>
      </c>
      <c r="V12" s="9">
        <v>0.85899999999999999</v>
      </c>
      <c r="W12" s="9"/>
      <c r="X12" s="10">
        <v>0.19800000000000001</v>
      </c>
      <c r="Y12" s="10">
        <v>0.35099999999999998</v>
      </c>
      <c r="Z12" s="5"/>
      <c r="AA12" s="5"/>
      <c r="AB12" s="5">
        <f t="shared" si="0"/>
        <v>14</v>
      </c>
      <c r="AC12" s="5"/>
      <c r="AD12" s="5">
        <f t="shared" si="1"/>
        <v>7</v>
      </c>
      <c r="AE12" s="5">
        <f t="shared" si="2"/>
        <v>10</v>
      </c>
      <c r="AF12" s="5">
        <f t="shared" si="3"/>
        <v>5</v>
      </c>
      <c r="AG12" s="5">
        <f t="shared" si="4"/>
        <v>5</v>
      </c>
      <c r="AH12" s="5">
        <f t="shared" si="5"/>
        <v>9</v>
      </c>
      <c r="AI12" s="5">
        <f t="shared" si="6"/>
        <v>9</v>
      </c>
      <c r="AJ12" s="5"/>
      <c r="AK12" s="5">
        <f t="shared" si="7"/>
        <v>15</v>
      </c>
      <c r="AL12" s="5">
        <f t="shared" si="8"/>
        <v>15</v>
      </c>
      <c r="AM12" s="5">
        <f t="shared" si="9"/>
        <v>13</v>
      </c>
      <c r="AN12" s="5">
        <f t="shared" si="10"/>
        <v>2</v>
      </c>
      <c r="AO12" s="5">
        <f t="shared" si="11"/>
        <v>13</v>
      </c>
      <c r="AP12" s="5">
        <f t="shared" si="12"/>
        <v>8</v>
      </c>
      <c r="AQ12" s="5"/>
      <c r="AR12" s="5">
        <f t="shared" si="13"/>
        <v>10</v>
      </c>
      <c r="AS12" s="5">
        <f t="shared" si="14"/>
        <v>5</v>
      </c>
      <c r="AT12" s="5"/>
      <c r="AU12" s="5">
        <f t="shared" si="15"/>
        <v>8</v>
      </c>
      <c r="AV12" s="5">
        <f t="shared" si="16"/>
        <v>6</v>
      </c>
    </row>
    <row r="13" spans="1:48" x14ac:dyDescent="0.25">
      <c r="A13" s="6" t="s">
        <v>51</v>
      </c>
      <c r="B13" s="7">
        <v>40</v>
      </c>
      <c r="C13" s="1">
        <v>8100</v>
      </c>
      <c r="D13" s="9">
        <v>0.46500000000000002</v>
      </c>
      <c r="E13" s="9">
        <v>13</v>
      </c>
      <c r="F13" s="9"/>
      <c r="G13" s="9">
        <v>0.61599999999999999</v>
      </c>
      <c r="H13" s="9">
        <v>0.20799999999999999</v>
      </c>
      <c r="I13" s="9">
        <v>0.28399999999999997</v>
      </c>
      <c r="J13" s="9">
        <v>8.1000000000000003E-2</v>
      </c>
      <c r="K13" s="9">
        <v>4.2999999999999997E-2</v>
      </c>
      <c r="L13" s="9">
        <v>0.38400000000000001</v>
      </c>
      <c r="M13" s="9"/>
      <c r="N13" s="9">
        <v>0.53900000000000003</v>
      </c>
      <c r="O13" s="9">
        <v>0.68</v>
      </c>
      <c r="P13" s="9">
        <v>0.49199999999999999</v>
      </c>
      <c r="Q13" s="9">
        <v>0.42</v>
      </c>
      <c r="R13" s="9">
        <v>0.39</v>
      </c>
      <c r="S13" s="9">
        <v>0.34599999999999997</v>
      </c>
      <c r="T13" s="9"/>
      <c r="U13" s="9">
        <v>0.65900000000000003</v>
      </c>
      <c r="V13" s="9">
        <v>0.89500000000000002</v>
      </c>
      <c r="W13" s="9"/>
      <c r="X13" s="10">
        <v>0.22500000000000001</v>
      </c>
      <c r="Y13" s="10">
        <v>0.38700000000000001</v>
      </c>
      <c r="Z13" s="5"/>
      <c r="AA13" s="5"/>
      <c r="AB13" s="5">
        <f t="shared" si="0"/>
        <v>11</v>
      </c>
      <c r="AC13" s="5"/>
      <c r="AD13" s="5">
        <f t="shared" si="1"/>
        <v>6</v>
      </c>
      <c r="AE13" s="5">
        <f t="shared" si="2"/>
        <v>8</v>
      </c>
      <c r="AF13" s="5">
        <f t="shared" si="3"/>
        <v>9</v>
      </c>
      <c r="AG13" s="5">
        <f t="shared" si="4"/>
        <v>2</v>
      </c>
      <c r="AH13" s="5">
        <f t="shared" si="5"/>
        <v>1</v>
      </c>
      <c r="AI13" s="5">
        <f t="shared" si="6"/>
        <v>10</v>
      </c>
      <c r="AJ13" s="5"/>
      <c r="AK13" s="5">
        <f t="shared" si="7"/>
        <v>13</v>
      </c>
      <c r="AL13" s="5">
        <f t="shared" si="8"/>
        <v>7</v>
      </c>
      <c r="AM13" s="5">
        <f t="shared" si="9"/>
        <v>14</v>
      </c>
      <c r="AN13" s="5">
        <f t="shared" si="10"/>
        <v>11</v>
      </c>
      <c r="AO13" s="5">
        <f t="shared" si="11"/>
        <v>8</v>
      </c>
      <c r="AP13" s="5">
        <f t="shared" si="12"/>
        <v>9</v>
      </c>
      <c r="AQ13" s="5"/>
      <c r="AR13" s="5">
        <f t="shared" si="13"/>
        <v>15</v>
      </c>
      <c r="AS13" s="5">
        <f t="shared" si="14"/>
        <v>15</v>
      </c>
      <c r="AT13" s="5"/>
      <c r="AU13" s="5">
        <f t="shared" si="15"/>
        <v>14</v>
      </c>
      <c r="AV13" s="5">
        <f t="shared" si="16"/>
        <v>13</v>
      </c>
    </row>
    <row r="14" spans="1:48" x14ac:dyDescent="0.25">
      <c r="A14" s="6" t="s">
        <v>43</v>
      </c>
      <c r="B14" s="7">
        <v>40</v>
      </c>
      <c r="C14" s="1">
        <v>8000</v>
      </c>
      <c r="D14" s="9">
        <v>0.41799999999999998</v>
      </c>
      <c r="E14" s="9">
        <v>14</v>
      </c>
      <c r="F14" s="9"/>
      <c r="G14" s="9">
        <v>0.61399999999999999</v>
      </c>
      <c r="H14" s="9">
        <v>0.14499999999999999</v>
      </c>
      <c r="I14" s="9">
        <v>0.312</v>
      </c>
      <c r="J14" s="9">
        <v>9.0999999999999998E-2</v>
      </c>
      <c r="K14" s="9">
        <v>6.5000000000000002E-2</v>
      </c>
      <c r="L14" s="9">
        <v>0.38600000000000001</v>
      </c>
      <c r="M14" s="9"/>
      <c r="N14" s="9">
        <v>0.47399999999999998</v>
      </c>
      <c r="O14" s="9">
        <v>0.63500000000000001</v>
      </c>
      <c r="P14" s="9">
        <v>0.46500000000000002</v>
      </c>
      <c r="Q14" s="9">
        <v>0.35499999999999998</v>
      </c>
      <c r="R14" s="9">
        <v>0.31900000000000001</v>
      </c>
      <c r="S14" s="9">
        <v>0.32900000000000001</v>
      </c>
      <c r="T14" s="9"/>
      <c r="U14" s="9">
        <v>0.61699999999999999</v>
      </c>
      <c r="V14" s="9">
        <v>0.871</v>
      </c>
      <c r="W14" s="9"/>
      <c r="X14" s="10">
        <v>0.19400000000000001</v>
      </c>
      <c r="Y14" s="10">
        <v>0.316</v>
      </c>
      <c r="Z14" s="5"/>
      <c r="AA14" s="5"/>
      <c r="AB14" s="5">
        <f t="shared" si="0"/>
        <v>1</v>
      </c>
      <c r="AC14" s="5"/>
      <c r="AD14" s="5">
        <f t="shared" si="1"/>
        <v>4</v>
      </c>
      <c r="AE14" s="5">
        <f t="shared" si="2"/>
        <v>1</v>
      </c>
      <c r="AF14" s="5">
        <f t="shared" si="3"/>
        <v>14</v>
      </c>
      <c r="AG14" s="5">
        <f t="shared" si="4"/>
        <v>8</v>
      </c>
      <c r="AH14" s="5">
        <f t="shared" si="5"/>
        <v>10</v>
      </c>
      <c r="AI14" s="5">
        <f t="shared" si="6"/>
        <v>11</v>
      </c>
      <c r="AJ14" s="5"/>
      <c r="AK14" s="5">
        <f t="shared" si="7"/>
        <v>1</v>
      </c>
      <c r="AL14" s="5">
        <f t="shared" si="8"/>
        <v>1</v>
      </c>
      <c r="AM14" s="5">
        <f t="shared" si="9"/>
        <v>8</v>
      </c>
      <c r="AN14" s="5">
        <f t="shared" si="10"/>
        <v>1</v>
      </c>
      <c r="AO14" s="5">
        <f t="shared" si="11"/>
        <v>1</v>
      </c>
      <c r="AP14" s="5">
        <f t="shared" si="12"/>
        <v>4</v>
      </c>
      <c r="AQ14" s="5"/>
      <c r="AR14" s="5">
        <f t="shared" si="13"/>
        <v>14</v>
      </c>
      <c r="AS14" s="5">
        <f t="shared" si="14"/>
        <v>12</v>
      </c>
      <c r="AT14" s="5"/>
      <c r="AU14" s="5">
        <f t="shared" si="15"/>
        <v>7</v>
      </c>
      <c r="AV14" s="5">
        <f t="shared" si="16"/>
        <v>3</v>
      </c>
    </row>
    <row r="15" spans="1:48" x14ac:dyDescent="0.25">
      <c r="A15" s="6" t="s">
        <v>54</v>
      </c>
      <c r="B15" s="7">
        <v>40</v>
      </c>
      <c r="C15" s="1">
        <v>8025</v>
      </c>
      <c r="D15" s="9">
        <v>0.47199999999999998</v>
      </c>
      <c r="E15" s="9">
        <v>13</v>
      </c>
      <c r="F15" s="9"/>
      <c r="G15" s="9">
        <v>0.61399999999999999</v>
      </c>
      <c r="H15" s="9">
        <v>0.28699999999999998</v>
      </c>
      <c r="I15" s="9">
        <v>0.20399999999999999</v>
      </c>
      <c r="J15" s="9">
        <v>7.0999999999999994E-2</v>
      </c>
      <c r="K15" s="9">
        <v>5.0999999999999997E-2</v>
      </c>
      <c r="L15" s="9">
        <v>0.38600000000000001</v>
      </c>
      <c r="M15" s="9"/>
      <c r="N15" s="9">
        <v>0.55000000000000004</v>
      </c>
      <c r="O15" s="9">
        <v>0.68600000000000005</v>
      </c>
      <c r="P15" s="9">
        <v>0.443</v>
      </c>
      <c r="Q15" s="9">
        <v>0.40500000000000003</v>
      </c>
      <c r="R15" s="9">
        <v>0.42099999999999999</v>
      </c>
      <c r="S15" s="9">
        <v>0.34699999999999998</v>
      </c>
      <c r="T15" s="9"/>
      <c r="U15" s="9">
        <v>0.59199999999999997</v>
      </c>
      <c r="V15" s="9">
        <v>0.86799999999999999</v>
      </c>
      <c r="W15" s="9"/>
      <c r="X15" s="10">
        <v>0.24</v>
      </c>
      <c r="Y15" s="10">
        <v>0.374</v>
      </c>
      <c r="Z15" s="5"/>
      <c r="AA15" s="5"/>
      <c r="AB15" s="5">
        <f t="shared" si="0"/>
        <v>13</v>
      </c>
      <c r="AC15" s="5"/>
      <c r="AD15" s="5">
        <f t="shared" si="1"/>
        <v>4</v>
      </c>
      <c r="AE15" s="5">
        <f t="shared" si="2"/>
        <v>14</v>
      </c>
      <c r="AF15" s="5">
        <f t="shared" si="3"/>
        <v>1</v>
      </c>
      <c r="AG15" s="5">
        <f t="shared" si="4"/>
        <v>1</v>
      </c>
      <c r="AH15" s="5">
        <f t="shared" si="5"/>
        <v>4</v>
      </c>
      <c r="AI15" s="5">
        <f t="shared" si="6"/>
        <v>11</v>
      </c>
      <c r="AJ15" s="5"/>
      <c r="AK15" s="5">
        <f t="shared" si="7"/>
        <v>14</v>
      </c>
      <c r="AL15" s="5">
        <f t="shared" si="8"/>
        <v>12</v>
      </c>
      <c r="AM15" s="5">
        <f t="shared" si="9"/>
        <v>6</v>
      </c>
      <c r="AN15" s="5">
        <f t="shared" si="10"/>
        <v>7</v>
      </c>
      <c r="AO15" s="5">
        <f t="shared" si="11"/>
        <v>15</v>
      </c>
      <c r="AP15" s="5">
        <f t="shared" si="12"/>
        <v>10</v>
      </c>
      <c r="AQ15" s="5"/>
      <c r="AR15" s="5">
        <f t="shared" si="13"/>
        <v>8</v>
      </c>
      <c r="AS15" s="5">
        <f t="shared" si="14"/>
        <v>10</v>
      </c>
      <c r="AT15" s="5"/>
      <c r="AU15" s="5">
        <f t="shared" si="15"/>
        <v>15</v>
      </c>
      <c r="AV15" s="5">
        <f t="shared" si="16"/>
        <v>10</v>
      </c>
    </row>
    <row r="16" spans="1:48" x14ac:dyDescent="0.25">
      <c r="A16" s="6" t="s">
        <v>52</v>
      </c>
      <c r="B16" s="7">
        <v>40</v>
      </c>
      <c r="C16" s="1">
        <v>8025</v>
      </c>
      <c r="D16" s="9">
        <v>0.434</v>
      </c>
      <c r="E16" s="9">
        <v>14</v>
      </c>
      <c r="F16" s="9"/>
      <c r="G16" s="9">
        <v>0.61299999999999999</v>
      </c>
      <c r="H16" s="9">
        <v>0.185</v>
      </c>
      <c r="I16" s="9">
        <v>0.28399999999999997</v>
      </c>
      <c r="J16" s="9">
        <v>8.8999999999999996E-2</v>
      </c>
      <c r="K16" s="9">
        <v>5.6000000000000001E-2</v>
      </c>
      <c r="L16" s="9">
        <v>0.38700000000000001</v>
      </c>
      <c r="M16" s="9"/>
      <c r="N16" s="9">
        <v>0.50600000000000001</v>
      </c>
      <c r="O16" s="9">
        <v>0.69699999999999995</v>
      </c>
      <c r="P16" s="9">
        <v>0.44</v>
      </c>
      <c r="Q16" s="9">
        <v>0.434</v>
      </c>
      <c r="R16" s="9">
        <v>0.32500000000000001</v>
      </c>
      <c r="S16" s="9">
        <v>0.318</v>
      </c>
      <c r="T16" s="9"/>
      <c r="U16" s="9">
        <v>0.60399999999999998</v>
      </c>
      <c r="V16" s="9">
        <v>0.86399999999999999</v>
      </c>
      <c r="W16" s="9"/>
      <c r="X16" s="10">
        <v>0.189</v>
      </c>
      <c r="Y16" s="10">
        <v>0.33200000000000002</v>
      </c>
      <c r="Z16" s="5"/>
      <c r="AA16" s="5"/>
      <c r="AB16" s="5">
        <f t="shared" si="0"/>
        <v>4</v>
      </c>
      <c r="AC16" s="5"/>
      <c r="AD16" s="5">
        <f t="shared" si="1"/>
        <v>3</v>
      </c>
      <c r="AE16" s="5">
        <f t="shared" si="2"/>
        <v>4</v>
      </c>
      <c r="AF16" s="5">
        <f t="shared" si="3"/>
        <v>9</v>
      </c>
      <c r="AG16" s="5">
        <f t="shared" si="4"/>
        <v>7</v>
      </c>
      <c r="AH16" s="5">
        <f t="shared" si="5"/>
        <v>6</v>
      </c>
      <c r="AI16" s="5">
        <f t="shared" si="6"/>
        <v>13</v>
      </c>
      <c r="AJ16" s="5"/>
      <c r="AK16" s="5">
        <f t="shared" si="7"/>
        <v>4</v>
      </c>
      <c r="AL16" s="5">
        <f t="shared" si="8"/>
        <v>13</v>
      </c>
      <c r="AM16" s="5">
        <f t="shared" si="9"/>
        <v>5</v>
      </c>
      <c r="AN16" s="5">
        <f t="shared" si="10"/>
        <v>15</v>
      </c>
      <c r="AO16" s="5">
        <f t="shared" si="11"/>
        <v>3</v>
      </c>
      <c r="AP16" s="5">
        <f t="shared" si="12"/>
        <v>1</v>
      </c>
      <c r="AQ16" s="5"/>
      <c r="AR16" s="5">
        <f t="shared" si="13"/>
        <v>13</v>
      </c>
      <c r="AS16" s="5">
        <f t="shared" si="14"/>
        <v>7</v>
      </c>
      <c r="AT16" s="5"/>
      <c r="AU16" s="5">
        <f t="shared" si="15"/>
        <v>5</v>
      </c>
      <c r="AV16" s="5">
        <f t="shared" si="16"/>
        <v>5</v>
      </c>
    </row>
    <row r="17" spans="1:48" x14ac:dyDescent="0.25">
      <c r="A17" s="6" t="s">
        <v>50</v>
      </c>
      <c r="B17" s="7">
        <v>40</v>
      </c>
      <c r="C17" s="1">
        <v>8025</v>
      </c>
      <c r="D17" s="9">
        <v>0.46300000000000002</v>
      </c>
      <c r="E17" s="9">
        <v>14</v>
      </c>
      <c r="F17" s="9"/>
      <c r="G17" s="9">
        <v>0.60099999999999998</v>
      </c>
      <c r="H17" s="9">
        <v>0.188</v>
      </c>
      <c r="I17" s="9">
        <v>0.253</v>
      </c>
      <c r="J17" s="9">
        <v>9.5000000000000001E-2</v>
      </c>
      <c r="K17" s="9">
        <v>6.6000000000000003E-2</v>
      </c>
      <c r="L17" s="9">
        <v>0.39900000000000002</v>
      </c>
      <c r="M17" s="9"/>
      <c r="N17" s="9">
        <v>0.53300000000000003</v>
      </c>
      <c r="O17" s="9">
        <v>0.71499999999999997</v>
      </c>
      <c r="P17" s="9">
        <v>0.47399999999999998</v>
      </c>
      <c r="Q17" s="9">
        <v>0.41199999999999998</v>
      </c>
      <c r="R17" s="9">
        <v>0.41599999999999998</v>
      </c>
      <c r="S17" s="9">
        <v>0.35699999999999998</v>
      </c>
      <c r="T17" s="9"/>
      <c r="U17" s="9">
        <v>0.6</v>
      </c>
      <c r="V17" s="9">
        <v>0.86299999999999999</v>
      </c>
      <c r="W17" s="9"/>
      <c r="X17" s="10">
        <v>0.156</v>
      </c>
      <c r="Y17" s="10">
        <v>0.40799999999999997</v>
      </c>
      <c r="Z17" s="5"/>
      <c r="AA17" s="5"/>
      <c r="AB17" s="5">
        <f t="shared" si="0"/>
        <v>10</v>
      </c>
      <c r="AC17" s="5"/>
      <c r="AD17" s="5">
        <f t="shared" si="1"/>
        <v>2</v>
      </c>
      <c r="AE17" s="5">
        <f t="shared" si="2"/>
        <v>5</v>
      </c>
      <c r="AF17" s="5">
        <f t="shared" si="3"/>
        <v>6</v>
      </c>
      <c r="AG17" s="5">
        <f t="shared" si="4"/>
        <v>13</v>
      </c>
      <c r="AH17" s="5">
        <f t="shared" si="5"/>
        <v>14</v>
      </c>
      <c r="AI17" s="5">
        <f t="shared" si="6"/>
        <v>14</v>
      </c>
      <c r="AJ17" s="5"/>
      <c r="AK17" s="5">
        <f t="shared" si="7"/>
        <v>11</v>
      </c>
      <c r="AL17" s="5">
        <f t="shared" si="8"/>
        <v>14</v>
      </c>
      <c r="AM17" s="5">
        <f t="shared" si="9"/>
        <v>10</v>
      </c>
      <c r="AN17" s="5">
        <f t="shared" si="10"/>
        <v>9</v>
      </c>
      <c r="AO17" s="5">
        <f t="shared" si="11"/>
        <v>14</v>
      </c>
      <c r="AP17" s="5">
        <f t="shared" si="12"/>
        <v>13</v>
      </c>
      <c r="AQ17" s="5"/>
      <c r="AR17" s="5">
        <f t="shared" si="13"/>
        <v>12</v>
      </c>
      <c r="AS17" s="5">
        <f t="shared" si="14"/>
        <v>6</v>
      </c>
      <c r="AT17" s="5"/>
      <c r="AU17" s="5">
        <f t="shared" si="15"/>
        <v>2</v>
      </c>
      <c r="AV17" s="5">
        <f t="shared" si="16"/>
        <v>15</v>
      </c>
    </row>
    <row r="18" spans="1:48" x14ac:dyDescent="0.25">
      <c r="A18" s="6" t="s">
        <v>42</v>
      </c>
      <c r="B18" s="7">
        <v>40</v>
      </c>
      <c r="C18" s="1">
        <v>8000</v>
      </c>
      <c r="D18" s="9">
        <v>0.433</v>
      </c>
      <c r="E18" s="9">
        <v>14</v>
      </c>
      <c r="F18" s="9"/>
      <c r="G18" s="9">
        <v>0.59299999999999997</v>
      </c>
      <c r="H18" s="9">
        <v>0.23400000000000001</v>
      </c>
      <c r="I18" s="9">
        <v>0.22</v>
      </c>
      <c r="J18" s="9">
        <v>9.4E-2</v>
      </c>
      <c r="K18" s="9">
        <v>4.4999999999999998E-2</v>
      </c>
      <c r="L18" s="9">
        <v>0.40699999999999997</v>
      </c>
      <c r="M18" s="9"/>
      <c r="N18" s="9">
        <v>0.50700000000000001</v>
      </c>
      <c r="O18" s="9">
        <v>0.64700000000000002</v>
      </c>
      <c r="P18" s="9">
        <v>0.42199999999999999</v>
      </c>
      <c r="Q18" s="9">
        <v>0.42699999999999999</v>
      </c>
      <c r="R18" s="9">
        <v>0.35799999999999998</v>
      </c>
      <c r="S18" s="9">
        <v>0.32600000000000001</v>
      </c>
      <c r="T18" s="9"/>
      <c r="U18" s="9">
        <v>0.59899999999999998</v>
      </c>
      <c r="V18" s="9">
        <v>0.89300000000000002</v>
      </c>
      <c r="W18" s="9"/>
      <c r="X18" s="10">
        <v>0.20100000000000001</v>
      </c>
      <c r="Y18" s="10">
        <v>0.30199999999999999</v>
      </c>
      <c r="Z18" s="5"/>
      <c r="AA18" s="5"/>
      <c r="AB18" s="5">
        <f t="shared" si="0"/>
        <v>3</v>
      </c>
      <c r="AC18" s="5"/>
      <c r="AD18" s="5">
        <f t="shared" si="1"/>
        <v>1</v>
      </c>
      <c r="AE18" s="5">
        <f t="shared" si="2"/>
        <v>10</v>
      </c>
      <c r="AF18" s="5">
        <f t="shared" si="3"/>
        <v>4</v>
      </c>
      <c r="AG18" s="5">
        <f t="shared" si="4"/>
        <v>11</v>
      </c>
      <c r="AH18" s="5">
        <f t="shared" si="5"/>
        <v>2</v>
      </c>
      <c r="AI18" s="5">
        <f t="shared" si="6"/>
        <v>15</v>
      </c>
      <c r="AJ18" s="5"/>
      <c r="AK18" s="5">
        <f t="shared" si="7"/>
        <v>5</v>
      </c>
      <c r="AL18" s="5">
        <f t="shared" si="8"/>
        <v>4</v>
      </c>
      <c r="AM18" s="5">
        <f t="shared" si="9"/>
        <v>2</v>
      </c>
      <c r="AN18" s="5">
        <f t="shared" si="10"/>
        <v>13</v>
      </c>
      <c r="AO18" s="5">
        <f t="shared" si="11"/>
        <v>7</v>
      </c>
      <c r="AP18" s="5">
        <f t="shared" si="12"/>
        <v>3</v>
      </c>
      <c r="AQ18" s="5"/>
      <c r="AR18" s="5">
        <f t="shared" si="13"/>
        <v>11</v>
      </c>
      <c r="AS18" s="5">
        <f t="shared" si="14"/>
        <v>14</v>
      </c>
      <c r="AT18" s="5"/>
      <c r="AU18" s="5">
        <f t="shared" si="15"/>
        <v>9</v>
      </c>
      <c r="AV18" s="5">
        <f t="shared" si="16"/>
        <v>1</v>
      </c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40</v>
      </c>
      <c r="C24" s="9">
        <f t="shared" ref="C24:Y24" si="17">AVERAGE(C4:C18)</f>
        <v>8046.666666666667</v>
      </c>
      <c r="D24" s="9">
        <f t="shared" si="17"/>
        <v>0.45246666666666674</v>
      </c>
      <c r="E24" s="9">
        <f t="shared" si="17"/>
        <v>13.333333333333334</v>
      </c>
      <c r="F24" s="9"/>
      <c r="G24" s="9">
        <f t="shared" si="17"/>
        <v>0.62893333333333346</v>
      </c>
      <c r="H24" s="9">
        <f t="shared" si="17"/>
        <v>0.21713333333333334</v>
      </c>
      <c r="I24" s="9">
        <f t="shared" si="17"/>
        <v>0.26413333333333328</v>
      </c>
      <c r="J24" s="9">
        <f t="shared" si="17"/>
        <v>9.0333333333333321E-2</v>
      </c>
      <c r="K24" s="9">
        <f t="shared" si="17"/>
        <v>5.7533333333333339E-2</v>
      </c>
      <c r="L24" s="9">
        <f t="shared" si="17"/>
        <v>0.37106666666666666</v>
      </c>
      <c r="M24" s="9"/>
      <c r="N24" s="9">
        <f t="shared" si="17"/>
        <v>0.5178666666666667</v>
      </c>
      <c r="O24" s="9">
        <f t="shared" si="17"/>
        <v>0.67373333333333318</v>
      </c>
      <c r="P24" s="9">
        <f t="shared" si="17"/>
        <v>0.45940000000000009</v>
      </c>
      <c r="Q24" s="9">
        <f t="shared" si="17"/>
        <v>0.40053333333333335</v>
      </c>
      <c r="R24" s="9">
        <f t="shared" si="17"/>
        <v>0.37333333333333341</v>
      </c>
      <c r="S24" s="9">
        <f t="shared" si="17"/>
        <v>0.34126666666666666</v>
      </c>
      <c r="T24" s="9"/>
      <c r="U24" s="9">
        <f t="shared" si="17"/>
        <v>0.58806666666666663</v>
      </c>
      <c r="V24" s="9">
        <f t="shared" si="17"/>
        <v>0.85913333333333353</v>
      </c>
      <c r="W24" s="9"/>
      <c r="X24" s="9">
        <f t="shared" si="17"/>
        <v>0.19580000000000003</v>
      </c>
      <c r="Y24" s="9">
        <f t="shared" si="17"/>
        <v>0.3561333333333333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A1:Y1"/>
    <mergeCell ref="AB1:AV1"/>
    <mergeCell ref="G2:L2"/>
    <mergeCell ref="N2:S2"/>
    <mergeCell ref="U2:V2"/>
    <mergeCell ref="X2:Y2"/>
    <mergeCell ref="AD2:AI2"/>
    <mergeCell ref="AK2:AP2"/>
    <mergeCell ref="AR2:AS2"/>
  </mergeCells>
  <pageMargins left="0.7" right="0.7" top="0.75" bottom="0.75" header="0" footer="0"/>
  <pageSetup orientation="landscape" r:id="rId1"/>
  <ignoredErrors>
    <ignoredError sqref="H3:W3 AB3 AC3:AN3 X3:AA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2026-09-01T09:19:53Z</dcterms:modified>
</cp:coreProperties>
</file>