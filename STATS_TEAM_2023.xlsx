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D:\Swish Swish\WNBA_STATS_TEAM\"/>
    </mc:Choice>
  </mc:AlternateContent>
  <xr:revisionPtr revIDLastSave="0" documentId="8_{4C779778-0C43-4327-8E78-3E23BC70FA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DVANCED" sheetId="3" r:id="rId1"/>
    <sheet name="SHOOTING" sheetId="4" r:id="rId2"/>
    <sheet name="SHOOTING OPPONENT" sheetId="5" r:id="rId3"/>
  </sheets>
  <definedNames>
    <definedName name="_xlnm._FilterDatabase" localSheetId="0" hidden="1">ADVANCED!$A$3:$Z$3</definedName>
    <definedName name="_xlnm._FilterDatabase" localSheetId="1" hidden="1">SHOOTING!$A$3:$W$3</definedName>
    <definedName name="_xlnm._FilterDatabase" localSheetId="2" hidden="1">'SHOOTING OPPONENT'!$A$3:$W$3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AV5" i="5" l="1"/>
  <c r="AV6" i="5"/>
  <c r="AV7" i="5"/>
  <c r="AV8" i="5"/>
  <c r="AV9" i="5"/>
  <c r="AV10" i="5"/>
  <c r="AV11" i="5"/>
  <c r="AV12" i="5"/>
  <c r="AV13" i="5"/>
  <c r="AV14" i="5"/>
  <c r="AV15" i="5"/>
  <c r="AV4" i="5"/>
  <c r="AU5" i="5"/>
  <c r="AU6" i="5"/>
  <c r="AU7" i="5"/>
  <c r="AU8" i="5"/>
  <c r="AU9" i="5"/>
  <c r="AU10" i="5"/>
  <c r="AU11" i="5"/>
  <c r="AU12" i="5"/>
  <c r="AU13" i="5"/>
  <c r="AU14" i="5"/>
  <c r="AU15" i="5"/>
  <c r="AU4" i="5"/>
  <c r="AS5" i="5"/>
  <c r="AS6" i="5"/>
  <c r="AS7" i="5"/>
  <c r="AS8" i="5"/>
  <c r="AS9" i="5"/>
  <c r="AS10" i="5"/>
  <c r="AS11" i="5"/>
  <c r="AS12" i="5"/>
  <c r="AS13" i="5"/>
  <c r="AS14" i="5"/>
  <c r="AS15" i="5"/>
  <c r="AS4" i="5"/>
  <c r="AR5" i="5"/>
  <c r="AR6" i="5"/>
  <c r="AR7" i="5"/>
  <c r="AR8" i="5"/>
  <c r="AR9" i="5"/>
  <c r="AR10" i="5"/>
  <c r="AR11" i="5"/>
  <c r="AR12" i="5"/>
  <c r="AR13" i="5"/>
  <c r="AR14" i="5"/>
  <c r="AR15" i="5"/>
  <c r="AR4" i="5"/>
  <c r="AP5" i="5"/>
  <c r="AP6" i="5"/>
  <c r="AP7" i="5"/>
  <c r="AP8" i="5"/>
  <c r="AP9" i="5"/>
  <c r="AP10" i="5"/>
  <c r="AP11" i="5"/>
  <c r="AP12" i="5"/>
  <c r="AP13" i="5"/>
  <c r="AP14" i="5"/>
  <c r="AP15" i="5"/>
  <c r="AP4" i="5"/>
  <c r="AO5" i="5"/>
  <c r="AO6" i="5"/>
  <c r="AO7" i="5"/>
  <c r="AO8" i="5"/>
  <c r="AO9" i="5"/>
  <c r="AO10" i="5"/>
  <c r="AO11" i="5"/>
  <c r="AO12" i="5"/>
  <c r="AO13" i="5"/>
  <c r="AO14" i="5"/>
  <c r="AO15" i="5"/>
  <c r="AO4" i="5"/>
  <c r="AN5" i="5"/>
  <c r="AN6" i="5"/>
  <c r="AN7" i="5"/>
  <c r="AN8" i="5"/>
  <c r="AN9" i="5"/>
  <c r="AN10" i="5"/>
  <c r="AN11" i="5"/>
  <c r="AN12" i="5"/>
  <c r="AN13" i="5"/>
  <c r="AN14" i="5"/>
  <c r="AN15" i="5"/>
  <c r="AN4" i="5"/>
  <c r="AM5" i="5"/>
  <c r="AM6" i="5"/>
  <c r="AM7" i="5"/>
  <c r="AM8" i="5"/>
  <c r="AM9" i="5"/>
  <c r="AM10" i="5"/>
  <c r="AM11" i="5"/>
  <c r="AM12" i="5"/>
  <c r="AM13" i="5"/>
  <c r="AM14" i="5"/>
  <c r="AM15" i="5"/>
  <c r="AM4" i="5"/>
  <c r="AL5" i="5"/>
  <c r="AL6" i="5"/>
  <c r="AL7" i="5"/>
  <c r="AL8" i="5"/>
  <c r="AL9" i="5"/>
  <c r="AL10" i="5"/>
  <c r="AL11" i="5"/>
  <c r="AL12" i="5"/>
  <c r="AL13" i="5"/>
  <c r="AL14" i="5"/>
  <c r="AL15" i="5"/>
  <c r="AL4" i="5"/>
  <c r="AK5" i="5"/>
  <c r="AK6" i="5"/>
  <c r="AK7" i="5"/>
  <c r="AK8" i="5"/>
  <c r="AK9" i="5"/>
  <c r="AK10" i="5"/>
  <c r="AK11" i="5"/>
  <c r="AK12" i="5"/>
  <c r="AK13" i="5"/>
  <c r="AK14" i="5"/>
  <c r="AK15" i="5"/>
  <c r="AK4" i="5"/>
  <c r="AI5" i="5"/>
  <c r="AI6" i="5"/>
  <c r="AI7" i="5"/>
  <c r="AI8" i="5"/>
  <c r="AI9" i="5"/>
  <c r="AI10" i="5"/>
  <c r="AI11" i="5"/>
  <c r="AI12" i="5"/>
  <c r="AI13" i="5"/>
  <c r="AI14" i="5"/>
  <c r="AI15" i="5"/>
  <c r="AI4" i="5"/>
  <c r="AH5" i="5"/>
  <c r="AH6" i="5"/>
  <c r="AH7" i="5"/>
  <c r="AH8" i="5"/>
  <c r="AH9" i="5"/>
  <c r="AH10" i="5"/>
  <c r="AH11" i="5"/>
  <c r="AH12" i="5"/>
  <c r="AH13" i="5"/>
  <c r="AH14" i="5"/>
  <c r="AH15" i="5"/>
  <c r="AH4" i="5"/>
  <c r="AG5" i="5"/>
  <c r="AG6" i="5"/>
  <c r="AG7" i="5"/>
  <c r="AG8" i="5"/>
  <c r="AG9" i="5"/>
  <c r="AG10" i="5"/>
  <c r="AG11" i="5"/>
  <c r="AG12" i="5"/>
  <c r="AG13" i="5"/>
  <c r="AG14" i="5"/>
  <c r="AG15" i="5"/>
  <c r="AG4" i="5"/>
  <c r="AF5" i="5"/>
  <c r="AF6" i="5"/>
  <c r="AF7" i="5"/>
  <c r="AF8" i="5"/>
  <c r="AF9" i="5"/>
  <c r="AF10" i="5"/>
  <c r="AF11" i="5"/>
  <c r="AF12" i="5"/>
  <c r="AF13" i="5"/>
  <c r="AF14" i="5"/>
  <c r="AF15" i="5"/>
  <c r="AF4" i="5"/>
  <c r="AE5" i="5"/>
  <c r="AE6" i="5"/>
  <c r="AE7" i="5"/>
  <c r="AE8" i="5"/>
  <c r="AE9" i="5"/>
  <c r="AE10" i="5"/>
  <c r="AE11" i="5"/>
  <c r="AE12" i="5"/>
  <c r="AE13" i="5"/>
  <c r="AE14" i="5"/>
  <c r="AE15" i="5"/>
  <c r="AE4" i="5"/>
  <c r="AD5" i="5"/>
  <c r="AD6" i="5"/>
  <c r="AD7" i="5"/>
  <c r="AD8" i="5"/>
  <c r="AD9" i="5"/>
  <c r="AD10" i="5"/>
  <c r="AD11" i="5"/>
  <c r="AD12" i="5"/>
  <c r="AD13" i="5"/>
  <c r="AD14" i="5"/>
  <c r="AD15" i="5"/>
  <c r="AD4" i="5"/>
  <c r="AB5" i="5"/>
  <c r="AB6" i="5"/>
  <c r="AB7" i="5"/>
  <c r="AB8" i="5"/>
  <c r="AB9" i="5"/>
  <c r="AB10" i="5"/>
  <c r="AB11" i="5"/>
  <c r="AB12" i="5"/>
  <c r="AB13" i="5"/>
  <c r="AB14" i="5"/>
  <c r="AB15" i="5"/>
  <c r="AB4" i="5"/>
  <c r="BA5" i="3"/>
  <c r="BA6" i="3"/>
  <c r="BA7" i="3"/>
  <c r="BA8" i="3"/>
  <c r="BA9" i="3"/>
  <c r="BA10" i="3"/>
  <c r="BA11" i="3"/>
  <c r="BA12" i="3"/>
  <c r="BA13" i="3"/>
  <c r="BA14" i="3"/>
  <c r="BA15" i="3"/>
  <c r="BA4" i="3"/>
  <c r="AX5" i="3"/>
  <c r="AX6" i="3"/>
  <c r="AX7" i="3"/>
  <c r="AX8" i="3"/>
  <c r="AX9" i="3"/>
  <c r="AX10" i="3"/>
  <c r="AX11" i="3"/>
  <c r="AX12" i="3"/>
  <c r="AX13" i="3"/>
  <c r="AX14" i="3"/>
  <c r="AX15" i="3"/>
  <c r="AX4" i="3"/>
  <c r="AT5" i="3"/>
  <c r="AT6" i="3"/>
  <c r="AT7" i="3"/>
  <c r="AT8" i="3"/>
  <c r="AT9" i="3"/>
  <c r="AT10" i="3"/>
  <c r="AT11" i="3"/>
  <c r="AT12" i="3"/>
  <c r="AT13" i="3"/>
  <c r="AT14" i="3"/>
  <c r="AT15" i="3"/>
  <c r="AT4" i="3"/>
  <c r="AL5" i="3"/>
  <c r="AL6" i="3"/>
  <c r="AL7" i="3"/>
  <c r="AL8" i="3"/>
  <c r="AL9" i="3"/>
  <c r="AL10" i="3"/>
  <c r="AL11" i="3"/>
  <c r="AL12" i="3"/>
  <c r="AL13" i="3"/>
  <c r="AL14" i="3"/>
  <c r="AL15" i="3"/>
  <c r="AL4" i="3"/>
  <c r="AG5" i="3"/>
  <c r="AG6" i="3"/>
  <c r="AG7" i="3"/>
  <c r="AG8" i="3"/>
  <c r="AG9" i="3"/>
  <c r="AG10" i="3"/>
  <c r="AG11" i="3"/>
  <c r="AG12" i="3"/>
  <c r="AG13" i="3"/>
  <c r="AG14" i="3"/>
  <c r="AG15" i="3"/>
  <c r="AF5" i="3"/>
  <c r="AF6" i="3"/>
  <c r="AF7" i="3"/>
  <c r="AF8" i="3"/>
  <c r="AF9" i="3"/>
  <c r="AF10" i="3"/>
  <c r="AF11" i="3"/>
  <c r="AF12" i="3"/>
  <c r="AF13" i="3"/>
  <c r="AF14" i="3"/>
  <c r="AF15" i="3"/>
  <c r="AG4" i="3"/>
  <c r="AE5" i="3"/>
  <c r="AE6" i="3"/>
  <c r="AE7" i="3"/>
  <c r="AE8" i="3"/>
  <c r="AE9" i="3"/>
  <c r="AE10" i="3"/>
  <c r="AE11" i="3"/>
  <c r="AE12" i="3"/>
  <c r="AE13" i="3"/>
  <c r="AE14" i="3"/>
  <c r="AE15" i="3"/>
  <c r="AE4" i="3"/>
  <c r="Y24" i="5"/>
  <c r="X24" i="5"/>
  <c r="V24" i="5"/>
  <c r="U24" i="5"/>
  <c r="S24" i="5"/>
  <c r="R24" i="5"/>
  <c r="Q24" i="5"/>
  <c r="P24" i="5"/>
  <c r="O24" i="5"/>
  <c r="N24" i="5"/>
  <c r="L24" i="5"/>
  <c r="K24" i="5"/>
  <c r="J24" i="5"/>
  <c r="I24" i="5"/>
  <c r="H24" i="5"/>
  <c r="G24" i="5"/>
  <c r="E24" i="5"/>
  <c r="D24" i="5"/>
  <c r="C24" i="5"/>
  <c r="B24" i="5"/>
  <c r="C24" i="4"/>
  <c r="D24" i="4"/>
  <c r="E24" i="4"/>
  <c r="G24" i="4"/>
  <c r="H24" i="4"/>
  <c r="I24" i="4"/>
  <c r="J24" i="4"/>
  <c r="K24" i="4"/>
  <c r="L24" i="4"/>
  <c r="N24" i="4"/>
  <c r="O24" i="4"/>
  <c r="P24" i="4"/>
  <c r="Q24" i="4"/>
  <c r="R24" i="4"/>
  <c r="S24" i="4"/>
  <c r="U24" i="4"/>
  <c r="V24" i="4"/>
  <c r="X24" i="4"/>
  <c r="Y24" i="4"/>
  <c r="B24" i="4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R24" i="3"/>
  <c r="S24" i="3"/>
  <c r="T24" i="3"/>
  <c r="U24" i="3"/>
  <c r="W24" i="3"/>
  <c r="X24" i="3"/>
  <c r="Y24" i="3"/>
  <c r="Z24" i="3"/>
  <c r="B24" i="3"/>
  <c r="AV5" i="4"/>
  <c r="AV6" i="4"/>
  <c r="AV7" i="4"/>
  <c r="AV8" i="4"/>
  <c r="AV9" i="4"/>
  <c r="AV10" i="4"/>
  <c r="AV11" i="4"/>
  <c r="AV12" i="4"/>
  <c r="AV13" i="4"/>
  <c r="AV14" i="4"/>
  <c r="AV15" i="4"/>
  <c r="AU5" i="4"/>
  <c r="AU6" i="4"/>
  <c r="AU7" i="4"/>
  <c r="AU8" i="4"/>
  <c r="AU9" i="4"/>
  <c r="AU10" i="4"/>
  <c r="AU11" i="4"/>
  <c r="AU12" i="4"/>
  <c r="AU13" i="4"/>
  <c r="AU14" i="4"/>
  <c r="AU15" i="4"/>
  <c r="AS5" i="4"/>
  <c r="AS6" i="4"/>
  <c r="AS7" i="4"/>
  <c r="AS8" i="4"/>
  <c r="AS9" i="4"/>
  <c r="AS10" i="4"/>
  <c r="AS11" i="4"/>
  <c r="AS12" i="4"/>
  <c r="AS13" i="4"/>
  <c r="AS14" i="4"/>
  <c r="AS15" i="4"/>
  <c r="AR5" i="4"/>
  <c r="AR6" i="4"/>
  <c r="AR7" i="4"/>
  <c r="AR8" i="4"/>
  <c r="AR9" i="4"/>
  <c r="AR10" i="4"/>
  <c r="AR11" i="4"/>
  <c r="AR12" i="4"/>
  <c r="AR13" i="4"/>
  <c r="AR14" i="4"/>
  <c r="AR15" i="4"/>
  <c r="AP5" i="4"/>
  <c r="AP6" i="4"/>
  <c r="AP7" i="4"/>
  <c r="AP8" i="4"/>
  <c r="AP9" i="4"/>
  <c r="AP10" i="4"/>
  <c r="AP11" i="4"/>
  <c r="AP12" i="4"/>
  <c r="AP13" i="4"/>
  <c r="AP14" i="4"/>
  <c r="AP15" i="4"/>
  <c r="AO5" i="4"/>
  <c r="AO6" i="4"/>
  <c r="AO7" i="4"/>
  <c r="AO8" i="4"/>
  <c r="AO9" i="4"/>
  <c r="AO10" i="4"/>
  <c r="AO11" i="4"/>
  <c r="AO12" i="4"/>
  <c r="AO13" i="4"/>
  <c r="AO14" i="4"/>
  <c r="AO15" i="4"/>
  <c r="AN5" i="4"/>
  <c r="AN6" i="4"/>
  <c r="AN7" i="4"/>
  <c r="AN8" i="4"/>
  <c r="AN9" i="4"/>
  <c r="AN10" i="4"/>
  <c r="AN11" i="4"/>
  <c r="AN12" i="4"/>
  <c r="AN13" i="4"/>
  <c r="AN14" i="4"/>
  <c r="AN15" i="4"/>
  <c r="AM5" i="4"/>
  <c r="AM6" i="4"/>
  <c r="AM7" i="4"/>
  <c r="AM8" i="4"/>
  <c r="AM9" i="4"/>
  <c r="AM10" i="4"/>
  <c r="AM11" i="4"/>
  <c r="AM12" i="4"/>
  <c r="AM13" i="4"/>
  <c r="AM14" i="4"/>
  <c r="AM15" i="4"/>
  <c r="AL5" i="4"/>
  <c r="AL6" i="4"/>
  <c r="AL7" i="4"/>
  <c r="AL8" i="4"/>
  <c r="AL9" i="4"/>
  <c r="AL10" i="4"/>
  <c r="AL11" i="4"/>
  <c r="AL12" i="4"/>
  <c r="AL13" i="4"/>
  <c r="AL14" i="4"/>
  <c r="AL15" i="4"/>
  <c r="AK5" i="4"/>
  <c r="AK6" i="4"/>
  <c r="AK7" i="4"/>
  <c r="AK8" i="4"/>
  <c r="AK9" i="4"/>
  <c r="AK10" i="4"/>
  <c r="AK11" i="4"/>
  <c r="AK12" i="4"/>
  <c r="AK13" i="4"/>
  <c r="AK14" i="4"/>
  <c r="AK15" i="4"/>
  <c r="AI5" i="4"/>
  <c r="AI6" i="4"/>
  <c r="AI7" i="4"/>
  <c r="AI8" i="4"/>
  <c r="AI9" i="4"/>
  <c r="AI10" i="4"/>
  <c r="AI11" i="4"/>
  <c r="AI12" i="4"/>
  <c r="AI13" i="4"/>
  <c r="AI14" i="4"/>
  <c r="AI15" i="4"/>
  <c r="AH5" i="4"/>
  <c r="AH6" i="4"/>
  <c r="AH7" i="4"/>
  <c r="AH8" i="4"/>
  <c r="AH9" i="4"/>
  <c r="AH10" i="4"/>
  <c r="AH11" i="4"/>
  <c r="AH12" i="4"/>
  <c r="AH13" i="4"/>
  <c r="AH14" i="4"/>
  <c r="AH15" i="4"/>
  <c r="AG5" i="4"/>
  <c r="AG6" i="4"/>
  <c r="AG7" i="4"/>
  <c r="AG8" i="4"/>
  <c r="AG9" i="4"/>
  <c r="AG10" i="4"/>
  <c r="AG11" i="4"/>
  <c r="AG12" i="4"/>
  <c r="AG13" i="4"/>
  <c r="AG14" i="4"/>
  <c r="AG15" i="4"/>
  <c r="AF5" i="4"/>
  <c r="AF6" i="4"/>
  <c r="AF7" i="4"/>
  <c r="AF8" i="4"/>
  <c r="AF9" i="4"/>
  <c r="AF10" i="4"/>
  <c r="AF11" i="4"/>
  <c r="AF12" i="4"/>
  <c r="AF13" i="4"/>
  <c r="AF14" i="4"/>
  <c r="AF15" i="4"/>
  <c r="AE5" i="4"/>
  <c r="AE6" i="4"/>
  <c r="AE7" i="4"/>
  <c r="AE8" i="4"/>
  <c r="AE9" i="4"/>
  <c r="AE10" i="4"/>
  <c r="AE11" i="4"/>
  <c r="AE12" i="4"/>
  <c r="AE13" i="4"/>
  <c r="AE14" i="4"/>
  <c r="AE15" i="4"/>
  <c r="AD5" i="4"/>
  <c r="AD6" i="4"/>
  <c r="AD7" i="4"/>
  <c r="AD8" i="4"/>
  <c r="AD9" i="4"/>
  <c r="AD10" i="4"/>
  <c r="AD11" i="4"/>
  <c r="AD12" i="4"/>
  <c r="AD13" i="4"/>
  <c r="AD14" i="4"/>
  <c r="AD15" i="4"/>
  <c r="AB5" i="4"/>
  <c r="AB6" i="4"/>
  <c r="AB7" i="4"/>
  <c r="AB8" i="4"/>
  <c r="AB9" i="4"/>
  <c r="AB10" i="4"/>
  <c r="AB11" i="4"/>
  <c r="AB12" i="4"/>
  <c r="AB13" i="4"/>
  <c r="AB14" i="4"/>
  <c r="AB15" i="4"/>
  <c r="AB4" i="4"/>
  <c r="AD4" i="4"/>
  <c r="AE4" i="4"/>
  <c r="AF4" i="4"/>
  <c r="AG4" i="4"/>
  <c r="AH4" i="4"/>
  <c r="AI4" i="4"/>
  <c r="AK4" i="4"/>
  <c r="AL4" i="4"/>
  <c r="AM4" i="4"/>
  <c r="AN4" i="4"/>
  <c r="AO4" i="4"/>
  <c r="AP4" i="4"/>
  <c r="AR4" i="4"/>
  <c r="AS4" i="4"/>
  <c r="AU4" i="4"/>
  <c r="AV4" i="4"/>
  <c r="AZ5" i="3"/>
  <c r="AZ6" i="3"/>
  <c r="AZ7" i="3"/>
  <c r="AZ8" i="3"/>
  <c r="AZ9" i="3"/>
  <c r="AZ10" i="3"/>
  <c r="AZ11" i="3"/>
  <c r="AZ12" i="3"/>
  <c r="AZ13" i="3"/>
  <c r="AZ14" i="3"/>
  <c r="AZ15" i="3"/>
  <c r="AY5" i="3"/>
  <c r="AY6" i="3"/>
  <c r="AY7" i="3"/>
  <c r="AY8" i="3"/>
  <c r="AY9" i="3"/>
  <c r="AY10" i="3"/>
  <c r="AY11" i="3"/>
  <c r="AY12" i="3"/>
  <c r="AY13" i="3"/>
  <c r="AY14" i="3"/>
  <c r="AY15" i="3"/>
  <c r="AV5" i="3"/>
  <c r="AV6" i="3"/>
  <c r="AV7" i="3"/>
  <c r="AV8" i="3"/>
  <c r="AV9" i="3"/>
  <c r="AV10" i="3"/>
  <c r="AV11" i="3"/>
  <c r="AV12" i="3"/>
  <c r="AV13" i="3"/>
  <c r="AV14" i="3"/>
  <c r="AV15" i="3"/>
  <c r="AU5" i="3"/>
  <c r="AU6" i="3"/>
  <c r="AU7" i="3"/>
  <c r="AU8" i="3"/>
  <c r="AU9" i="3"/>
  <c r="AU10" i="3"/>
  <c r="AU11" i="3"/>
  <c r="AU12" i="3"/>
  <c r="AU13" i="3"/>
  <c r="AU14" i="3"/>
  <c r="AU15" i="3"/>
  <c r="AS5" i="3"/>
  <c r="AS6" i="3"/>
  <c r="AS7" i="3"/>
  <c r="AS8" i="3"/>
  <c r="AS9" i="3"/>
  <c r="AS10" i="3"/>
  <c r="AS11" i="3"/>
  <c r="AS12" i="3"/>
  <c r="AS13" i="3"/>
  <c r="AS14" i="3"/>
  <c r="AS15" i="3"/>
  <c r="AQ5" i="3"/>
  <c r="AQ6" i="3"/>
  <c r="AQ7" i="3"/>
  <c r="AQ8" i="3"/>
  <c r="AQ9" i="3"/>
  <c r="AQ10" i="3"/>
  <c r="AQ11" i="3"/>
  <c r="AQ12" i="3"/>
  <c r="AQ13" i="3"/>
  <c r="AQ14" i="3"/>
  <c r="AQ15" i="3"/>
  <c r="AP5" i="3"/>
  <c r="AP6" i="3"/>
  <c r="AP7" i="3"/>
  <c r="AP8" i="3"/>
  <c r="AP9" i="3"/>
  <c r="AP10" i="3"/>
  <c r="AP11" i="3"/>
  <c r="AP12" i="3"/>
  <c r="AP13" i="3"/>
  <c r="AP14" i="3"/>
  <c r="AP15" i="3"/>
  <c r="AO5" i="3"/>
  <c r="AO6" i="3"/>
  <c r="AO7" i="3"/>
  <c r="AO8" i="3"/>
  <c r="AO9" i="3"/>
  <c r="AO10" i="3"/>
  <c r="AO11" i="3"/>
  <c r="AO12" i="3"/>
  <c r="AO13" i="3"/>
  <c r="AO14" i="3"/>
  <c r="AO15" i="3"/>
  <c r="AN5" i="3"/>
  <c r="AN6" i="3"/>
  <c r="AN7" i="3"/>
  <c r="AN8" i="3"/>
  <c r="AN9" i="3"/>
  <c r="AN10" i="3"/>
  <c r="AN11" i="3"/>
  <c r="AN12" i="3"/>
  <c r="AN13" i="3"/>
  <c r="AN14" i="3"/>
  <c r="AN15" i="3"/>
  <c r="AM5" i="3"/>
  <c r="AM6" i="3"/>
  <c r="AM7" i="3"/>
  <c r="AM8" i="3"/>
  <c r="AM9" i="3"/>
  <c r="AM10" i="3"/>
  <c r="AM11" i="3"/>
  <c r="AM12" i="3"/>
  <c r="AM13" i="3"/>
  <c r="AM14" i="3"/>
  <c r="AM15" i="3"/>
  <c r="AK5" i="3"/>
  <c r="AK6" i="3"/>
  <c r="AK7" i="3"/>
  <c r="AK8" i="3"/>
  <c r="AK9" i="3"/>
  <c r="AK10" i="3"/>
  <c r="AK11" i="3"/>
  <c r="AK12" i="3"/>
  <c r="AK13" i="3"/>
  <c r="AK14" i="3"/>
  <c r="AK15" i="3"/>
  <c r="AJ5" i="3"/>
  <c r="AJ6" i="3"/>
  <c r="AJ7" i="3"/>
  <c r="AJ8" i="3"/>
  <c r="AJ9" i="3"/>
  <c r="AJ10" i="3"/>
  <c r="AJ11" i="3"/>
  <c r="AJ12" i="3"/>
  <c r="AJ13" i="3"/>
  <c r="AJ14" i="3"/>
  <c r="AJ15" i="3"/>
  <c r="AI5" i="3"/>
  <c r="AI6" i="3"/>
  <c r="AI7" i="3"/>
  <c r="AI8" i="3"/>
  <c r="AI9" i="3"/>
  <c r="AI10" i="3"/>
  <c r="AI11" i="3"/>
  <c r="AI12" i="3"/>
  <c r="AI13" i="3"/>
  <c r="AI14" i="3"/>
  <c r="AI15" i="3"/>
  <c r="AH5" i="3"/>
  <c r="AH6" i="3"/>
  <c r="AH7" i="3"/>
  <c r="AH8" i="3"/>
  <c r="AH9" i="3"/>
  <c r="AH10" i="3"/>
  <c r="AH11" i="3"/>
  <c r="AH12" i="3"/>
  <c r="AH13" i="3"/>
  <c r="AH14" i="3"/>
  <c r="AH15" i="3"/>
  <c r="AD5" i="3"/>
  <c r="AD6" i="3"/>
  <c r="AD7" i="3"/>
  <c r="AD8" i="3"/>
  <c r="AD9" i="3"/>
  <c r="AD10" i="3"/>
  <c r="AD11" i="3"/>
  <c r="AD12" i="3"/>
  <c r="AD13" i="3"/>
  <c r="AD14" i="3"/>
  <c r="AD15" i="3"/>
  <c r="AD4" i="3"/>
  <c r="AF4" i="3"/>
  <c r="AH4" i="3"/>
  <c r="AI4" i="3"/>
  <c r="AJ4" i="3"/>
  <c r="AK4" i="3"/>
  <c r="AM4" i="3"/>
  <c r="AN4" i="3"/>
  <c r="AO4" i="3"/>
  <c r="AP4" i="3"/>
  <c r="AQ4" i="3"/>
  <c r="AS4" i="3"/>
  <c r="AU4" i="3"/>
  <c r="AV4" i="3"/>
  <c r="AY4" i="3"/>
  <c r="AZ4" i="3"/>
  <c r="AC5" i="3"/>
  <c r="AC6" i="3"/>
  <c r="AC7" i="3"/>
  <c r="AC8" i="3"/>
  <c r="AC9" i="3"/>
  <c r="AC10" i="3"/>
  <c r="AC11" i="3"/>
  <c r="AC12" i="3"/>
  <c r="AC13" i="3"/>
  <c r="AC14" i="3"/>
  <c r="AC15" i="3"/>
  <c r="AC4" i="3"/>
</calcChain>
</file>

<file path=xl/sharedStrings.xml><?xml version="1.0" encoding="utf-8"?>
<sst xmlns="http://schemas.openxmlformats.org/spreadsheetml/2006/main" count="188" uniqueCount="54">
  <si>
    <t>ADVANCED</t>
  </si>
  <si>
    <t>Team</t>
  </si>
  <si>
    <t>TS%</t>
  </si>
  <si>
    <t>eFG%</t>
  </si>
  <si>
    <t>3PAr</t>
  </si>
  <si>
    <t>FTr</t>
  </si>
  <si>
    <t>ORB%</t>
  </si>
  <si>
    <t>TOV%</t>
  </si>
  <si>
    <t>ORtg</t>
  </si>
  <si>
    <t>DRtg</t>
  </si>
  <si>
    <t>NRtg</t>
  </si>
  <si>
    <t>Age</t>
  </si>
  <si>
    <t>W</t>
  </si>
  <si>
    <t>L</t>
  </si>
  <si>
    <t>PW</t>
  </si>
  <si>
    <t>PL</t>
  </si>
  <si>
    <t>MOV</t>
  </si>
  <si>
    <t>SOS</t>
  </si>
  <si>
    <t>SRS</t>
  </si>
  <si>
    <t>Pace</t>
  </si>
  <si>
    <t>FT/FGA</t>
  </si>
  <si>
    <t>DRB%</t>
  </si>
  <si>
    <t>OFFENSE 4 FACTORS</t>
  </si>
  <si>
    <t>DEFENSE 4 FACTORS</t>
  </si>
  <si>
    <t>STATS</t>
  </si>
  <si>
    <t>G</t>
  </si>
  <si>
    <t>MP</t>
  </si>
  <si>
    <t>FG%</t>
  </si>
  <si>
    <t>Dist</t>
  </si>
  <si>
    <t>2P</t>
  </si>
  <si>
    <t>0-3</t>
  </si>
  <si>
    <t>3-10</t>
  </si>
  <si>
    <t>10-16</t>
  </si>
  <si>
    <t>16-3P</t>
  </si>
  <si>
    <t>3P</t>
  </si>
  <si>
    <t>%3PA</t>
  </si>
  <si>
    <t>3P%</t>
  </si>
  <si>
    <t>Frequency</t>
  </si>
  <si>
    <t>Efficiency</t>
  </si>
  <si>
    <t>% Ast'd</t>
  </si>
  <si>
    <t>Corner</t>
  </si>
  <si>
    <t>Moyenne</t>
  </si>
  <si>
    <t>Los Angeles Sparks</t>
  </si>
  <si>
    <t>Indiana Fever</t>
  </si>
  <si>
    <t>Seattle Storm</t>
  </si>
  <si>
    <t>Phoenix Mercury</t>
  </si>
  <si>
    <t>Las Vegas Aces</t>
  </si>
  <si>
    <t>New York Liberty</t>
  </si>
  <si>
    <t>Connecticut Sun</t>
  </si>
  <si>
    <t>Dallas Wings</t>
  </si>
  <si>
    <t>Washington Mystics</t>
  </si>
  <si>
    <t>Atlanta Dream</t>
  </si>
  <si>
    <t>Chicago Sky</t>
  </si>
  <si>
    <t>Minnesota Lynx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</si>
</sst>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20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3" fillId="2" borderId="0" xfId="0" applyFont="1" applyFill="1"/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1" fillId="2" borderId="0" xfId="0" quotePrefix="1" applyFont="1" applyFill="1" applyAlignment="1">
      <alignment horizontal="center" vertical="center" wrapText="1"/>
    </xf>
    <xf numFmtId="0" fontId="0" fillId="2" borderId="0" xfId="0" applyFill="1"/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1139"/>
  <sheetViews>
    <sheetView tabSelected="1" workbookViewId="0">
      <pane xSplit="1" topLeftCell="B1" activePane="topRight" state="frozen"/>
      <selection pane="topRight" sqref="A1:Z1"/>
    </sheetView>
  </sheetViews>
  <sheetFormatPr baseColWidth="10" defaultColWidth="12.5703125" defaultRowHeight="15" customHeight="1" x14ac:dyDescent="0.25"/>
  <cols>
    <col min="1" max="1" width="25.7109375" customWidth="1"/>
    <col min="2" max="53" width="7.7109375" customWidth="1"/>
  </cols>
  <sheetData>
    <row r="1" spans="1:53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C1" s="18" t="s">
        <v>24</v>
      </c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</row>
    <row r="2" spans="1:53" ht="26.25" x14ac:dyDescent="0.4">
      <c r="A2" s="11"/>
      <c r="B2" s="17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1"/>
      <c r="R2" s="17" t="s">
        <v>22</v>
      </c>
      <c r="S2" s="17"/>
      <c r="T2" s="17"/>
      <c r="U2" s="17"/>
      <c r="V2" s="11"/>
      <c r="W2" s="17" t="s">
        <v>23</v>
      </c>
      <c r="X2" s="17"/>
      <c r="Y2" s="17"/>
      <c r="Z2" s="17"/>
      <c r="AC2" s="17" t="s">
        <v>0</v>
      </c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2"/>
      <c r="AS2" s="17" t="s">
        <v>22</v>
      </c>
      <c r="AT2" s="17"/>
      <c r="AU2" s="17"/>
      <c r="AV2" s="17"/>
      <c r="AW2" s="12"/>
      <c r="AX2" s="17" t="s">
        <v>23</v>
      </c>
      <c r="AY2" s="17"/>
      <c r="AZ2" s="17"/>
      <c r="BA2" s="17"/>
    </row>
    <row r="3" spans="1:53" x14ac:dyDescent="0.25">
      <c r="A3" s="13" t="s">
        <v>1</v>
      </c>
      <c r="B3" s="13" t="s">
        <v>11</v>
      </c>
      <c r="C3" s="13" t="s">
        <v>12</v>
      </c>
      <c r="D3" s="13" t="s">
        <v>13</v>
      </c>
      <c r="E3" s="13" t="s">
        <v>14</v>
      </c>
      <c r="F3" s="13" t="s">
        <v>15</v>
      </c>
      <c r="G3" s="13" t="s">
        <v>16</v>
      </c>
      <c r="H3" s="13" t="s">
        <v>17</v>
      </c>
      <c r="I3" s="13" t="s">
        <v>18</v>
      </c>
      <c r="J3" s="13" t="s">
        <v>8</v>
      </c>
      <c r="K3" s="13" t="s">
        <v>9</v>
      </c>
      <c r="L3" s="13" t="s">
        <v>10</v>
      </c>
      <c r="M3" s="13" t="s">
        <v>19</v>
      </c>
      <c r="N3" s="13" t="s">
        <v>5</v>
      </c>
      <c r="O3" s="13" t="s">
        <v>4</v>
      </c>
      <c r="P3" s="13" t="s">
        <v>2</v>
      </c>
      <c r="Q3" s="13"/>
      <c r="R3" s="13" t="s">
        <v>3</v>
      </c>
      <c r="S3" s="13" t="s">
        <v>7</v>
      </c>
      <c r="T3" s="13" t="s">
        <v>6</v>
      </c>
      <c r="U3" s="13" t="s">
        <v>20</v>
      </c>
      <c r="V3" s="13"/>
      <c r="W3" s="13" t="s">
        <v>3</v>
      </c>
      <c r="X3" s="13" t="s">
        <v>7</v>
      </c>
      <c r="Y3" s="13" t="s">
        <v>21</v>
      </c>
      <c r="Z3" s="13" t="s">
        <v>20</v>
      </c>
      <c r="AC3" s="13" t="s">
        <v>11</v>
      </c>
      <c r="AD3" s="13" t="s">
        <v>12</v>
      </c>
      <c r="AE3" s="13" t="s">
        <v>13</v>
      </c>
      <c r="AF3" s="13" t="s">
        <v>14</v>
      </c>
      <c r="AG3" s="13" t="s">
        <v>15</v>
      </c>
      <c r="AH3" s="13" t="s">
        <v>16</v>
      </c>
      <c r="AI3" s="13" t="s">
        <v>17</v>
      </c>
      <c r="AJ3" s="13" t="s">
        <v>18</v>
      </c>
      <c r="AK3" s="13" t="s">
        <v>8</v>
      </c>
      <c r="AL3" s="13" t="s">
        <v>9</v>
      </c>
      <c r="AM3" s="13" t="s">
        <v>10</v>
      </c>
      <c r="AN3" s="13" t="s">
        <v>19</v>
      </c>
      <c r="AO3" s="13" t="s">
        <v>5</v>
      </c>
      <c r="AP3" s="13" t="s">
        <v>4</v>
      </c>
      <c r="AQ3" s="13" t="s">
        <v>2</v>
      </c>
      <c r="AR3" s="13"/>
      <c r="AS3" s="13" t="s">
        <v>3</v>
      </c>
      <c r="AT3" s="13" t="s">
        <v>7</v>
      </c>
      <c r="AU3" s="13" t="s">
        <v>6</v>
      </c>
      <c r="AV3" s="13" t="s">
        <v>20</v>
      </c>
      <c r="AW3" s="13"/>
      <c r="AX3" s="13" t="s">
        <v>3</v>
      </c>
      <c r="AY3" s="13" t="s">
        <v>7</v>
      </c>
      <c r="AZ3" s="13" t="s">
        <v>21</v>
      </c>
      <c r="BA3" s="13" t="s">
        <v>20</v>
      </c>
    </row>
    <row r="4" spans="1:53" x14ac:dyDescent="0.25">
      <c r="A4" s="6" t="s">
        <v>46</v>
      </c>
      <c r="B4" s="8">
        <v>29</v>
      </c>
      <c r="C4" s="1">
        <v>34</v>
      </c>
      <c r="D4" s="1">
        <v>6</v>
      </c>
      <c r="E4" s="1">
        <v>35</v>
      </c>
      <c r="F4" s="1">
        <v>5</v>
      </c>
      <c r="G4" s="9">
        <v>12.55</v>
      </c>
      <c r="H4" s="9">
        <v>-1.0900000000000001</v>
      </c>
      <c r="I4" s="9">
        <v>11.46</v>
      </c>
      <c r="J4" s="9">
        <v>114.8</v>
      </c>
      <c r="K4" s="9">
        <v>99.2</v>
      </c>
      <c r="L4" s="9">
        <v>15.6</v>
      </c>
      <c r="M4" s="9">
        <v>80.900000000000006</v>
      </c>
      <c r="N4" s="9">
        <v>0.28199999999999997</v>
      </c>
      <c r="O4" s="9">
        <v>0.36</v>
      </c>
      <c r="P4" s="9">
        <v>0.59699999999999998</v>
      </c>
      <c r="Q4" s="1">
        <v>0</v>
      </c>
      <c r="R4" s="9">
        <v>0.55300000000000005</v>
      </c>
      <c r="S4" s="9">
        <v>12.5</v>
      </c>
      <c r="T4" s="9">
        <v>18.899999999999999</v>
      </c>
      <c r="U4" s="9">
        <v>0.23599999999999999</v>
      </c>
      <c r="V4" s="1">
        <v>0</v>
      </c>
      <c r="W4" s="9">
        <v>0.48</v>
      </c>
      <c r="X4" s="9">
        <v>14.4</v>
      </c>
      <c r="Y4" s="9">
        <v>78.2</v>
      </c>
      <c r="Z4" s="9">
        <v>0.17100000000000001</v>
      </c>
      <c r="AA4" s="5"/>
      <c r="AB4" s="5"/>
      <c r="AC4" s="5">
        <f t="shared" ref="AC4:AQ18" si="0">RANK(B4,B$4:B$18,0)</f>
        <v>2</v>
      </c>
      <c r="AD4" s="5">
        <f t="shared" si="0"/>
        <v>1</v>
      </c>
      <c r="AE4" s="5">
        <f>RANK(D4,D$4:D$18,1)</f>
        <v>1</v>
      </c>
      <c r="AF4" s="5">
        <f t="shared" si="0"/>
        <v>1</v>
      </c>
      <c r="AG4" s="5">
        <f>RANK(F4,F$4:F$18,1)</f>
        <v>1</v>
      </c>
      <c r="AH4" s="5">
        <f t="shared" si="0"/>
        <v>1</v>
      </c>
      <c r="AI4" s="5">
        <f t="shared" si="0"/>
        <v>12</v>
      </c>
      <c r="AJ4" s="5">
        <f t="shared" si="0"/>
        <v>1</v>
      </c>
      <c r="AK4" s="5">
        <f t="shared" si="0"/>
        <v>1</v>
      </c>
      <c r="AL4" s="5">
        <f>RANK(K4,K$4:K$18,1)</f>
        <v>1</v>
      </c>
      <c r="AM4" s="5">
        <f t="shared" si="0"/>
        <v>1</v>
      </c>
      <c r="AN4" s="5">
        <f t="shared" si="0"/>
        <v>2</v>
      </c>
      <c r="AO4" s="5">
        <f t="shared" si="0"/>
        <v>4</v>
      </c>
      <c r="AP4" s="5">
        <f t="shared" si="0"/>
        <v>2</v>
      </c>
      <c r="AQ4" s="5">
        <f t="shared" si="0"/>
        <v>1</v>
      </c>
      <c r="AR4" s="5"/>
      <c r="AS4" s="5">
        <f>RANK(R4,R$4:R$18,0)</f>
        <v>1</v>
      </c>
      <c r="AT4" s="5">
        <f>RANK(S4,S$4:S$18,1)</f>
        <v>1</v>
      </c>
      <c r="AU4" s="5">
        <f>RANK(T4,T$4:T$18,0)</f>
        <v>11</v>
      </c>
      <c r="AV4" s="5">
        <f>RANK(U4,U$4:U$18,0)</f>
        <v>2</v>
      </c>
      <c r="AW4" s="5"/>
      <c r="AX4" s="5">
        <f>RANK(W4,W$4:W$18,1)</f>
        <v>2</v>
      </c>
      <c r="AY4" s="5">
        <f>RANK(X4,X$4:X$18,0)</f>
        <v>6</v>
      </c>
      <c r="AZ4" s="5">
        <f>RANK(Y4,Y$4:Y$18,0)</f>
        <v>2</v>
      </c>
      <c r="BA4" s="5">
        <f>RANK(Z4,Z$4:Z$18,1)</f>
        <v>1</v>
      </c>
    </row>
    <row r="5" spans="1:53" x14ac:dyDescent="0.25">
      <c r="A5" s="6" t="s">
        <v>47</v>
      </c>
      <c r="B5" s="8">
        <v>28.8</v>
      </c>
      <c r="C5" s="1">
        <v>32</v>
      </c>
      <c r="D5" s="1">
        <v>8</v>
      </c>
      <c r="E5" s="1">
        <v>32</v>
      </c>
      <c r="F5" s="1">
        <v>8</v>
      </c>
      <c r="G5" s="9">
        <v>8.68</v>
      </c>
      <c r="H5" s="9">
        <v>-0.53</v>
      </c>
      <c r="I5" s="9">
        <v>8.14</v>
      </c>
      <c r="J5" s="9">
        <v>111.8</v>
      </c>
      <c r="K5" s="9">
        <v>101</v>
      </c>
      <c r="L5" s="9">
        <v>10.8</v>
      </c>
      <c r="M5" s="9">
        <v>79</v>
      </c>
      <c r="N5" s="9">
        <v>0.23799999999999999</v>
      </c>
      <c r="O5" s="9">
        <v>0.42399999999999999</v>
      </c>
      <c r="P5" s="9">
        <v>0.57699999999999996</v>
      </c>
      <c r="Q5" s="1">
        <v>0</v>
      </c>
      <c r="R5" s="9">
        <v>0.53900000000000003</v>
      </c>
      <c r="S5" s="9">
        <v>14.9</v>
      </c>
      <c r="T5" s="9">
        <v>25.8</v>
      </c>
      <c r="U5" s="9">
        <v>0.19800000000000001</v>
      </c>
      <c r="V5" s="1">
        <v>0</v>
      </c>
      <c r="W5" s="9">
        <v>0.47599999999999998</v>
      </c>
      <c r="X5" s="9">
        <v>13.1</v>
      </c>
      <c r="Y5" s="9">
        <v>78.5</v>
      </c>
      <c r="Z5" s="9">
        <v>0.184</v>
      </c>
      <c r="AA5" s="5"/>
      <c r="AB5" s="5"/>
      <c r="AC5" s="5">
        <f t="shared" ref="AC5:AC18" si="1">RANK(B5,B$4:B$18,0)</f>
        <v>4</v>
      </c>
      <c r="AD5" s="5">
        <f t="shared" ref="AD5:AD18" si="2">RANK(C5,C$4:C$18,0)</f>
        <v>2</v>
      </c>
      <c r="AE5" s="5">
        <f t="shared" ref="AE5:AE18" si="3">RANK(D5,D$4:D$18,1)</f>
        <v>2</v>
      </c>
      <c r="AF5" s="5">
        <f t="shared" si="0"/>
        <v>2</v>
      </c>
      <c r="AG5" s="5">
        <f t="shared" ref="AG5:AG18" si="4">RANK(F5,F$4:F$18,1)</f>
        <v>2</v>
      </c>
      <c r="AH5" s="5">
        <f t="shared" ref="AH5:AH18" si="5">RANK(G5,G$4:G$18,0)</f>
        <v>2</v>
      </c>
      <c r="AI5" s="5">
        <f t="shared" ref="AI5:AI18" si="6">RANK(H5,H$4:H$18,0)</f>
        <v>11</v>
      </c>
      <c r="AJ5" s="5">
        <f t="shared" ref="AJ5:AJ18" si="7">RANK(I5,I$4:I$18,0)</f>
        <v>2</v>
      </c>
      <c r="AK5" s="5">
        <f t="shared" ref="AK5:AK18" si="8">RANK(J5,J$4:J$18,0)</f>
        <v>2</v>
      </c>
      <c r="AL5" s="5">
        <f t="shared" ref="AL5:AL18" si="9">RANK(K5,K$4:K$18,1)</f>
        <v>3</v>
      </c>
      <c r="AM5" s="5">
        <f t="shared" ref="AM5:AM18" si="10">RANK(L5,L$4:L$18,0)</f>
        <v>2</v>
      </c>
      <c r="AN5" s="5">
        <f t="shared" ref="AN5:AN18" si="11">RANK(M5,M$4:M$18,0)</f>
        <v>6</v>
      </c>
      <c r="AO5" s="5">
        <f t="shared" ref="AO5:AO18" si="12">RANK(N5,N$4:N$18,0)</f>
        <v>11</v>
      </c>
      <c r="AP5" s="5">
        <f t="shared" ref="AP5:AP18" si="13">RANK(O5,O$4:O$18,0)</f>
        <v>1</v>
      </c>
      <c r="AQ5" s="5">
        <f t="shared" ref="AQ5:AQ18" si="14">RANK(P5,P$4:P$18,0)</f>
        <v>2</v>
      </c>
      <c r="AR5" s="5"/>
      <c r="AS5" s="5">
        <f t="shared" ref="AS5:AU11" si="15">RANK(R5,R$4:R$18,0)</f>
        <v>2</v>
      </c>
      <c r="AT5" s="5">
        <f t="shared" ref="AT5:AT18" si="16">RANK(S5,S$4:S$18,1)</f>
        <v>7</v>
      </c>
      <c r="AU5" s="5">
        <f t="shared" si="15"/>
        <v>3</v>
      </c>
      <c r="AV5" s="5">
        <f t="shared" ref="AV5:AV18" si="17">RANK(U5,U$4:U$18,0)</f>
        <v>11</v>
      </c>
      <c r="AW5" s="5"/>
      <c r="AX5" s="5">
        <f t="shared" ref="AX5:AX18" si="18">RANK(W5,W$4:W$18,1)</f>
        <v>1</v>
      </c>
      <c r="AY5" s="5">
        <f t="shared" ref="AY5:AZ18" si="19">RANK(X5,X$4:X$18,0)</f>
        <v>12</v>
      </c>
      <c r="AZ5" s="5">
        <f t="shared" si="19"/>
        <v>1</v>
      </c>
      <c r="BA5" s="5">
        <f t="shared" ref="BA5:BA18" si="20">RANK(Z5,Z$4:Z$18,1)</f>
        <v>2</v>
      </c>
    </row>
    <row r="6" spans="1:53" x14ac:dyDescent="0.25">
      <c r="A6" s="6" t="s">
        <v>48</v>
      </c>
      <c r="B6" s="8">
        <v>29.1</v>
      </c>
      <c r="C6" s="1">
        <v>27</v>
      </c>
      <c r="D6" s="1">
        <v>13</v>
      </c>
      <c r="E6" s="1">
        <v>26</v>
      </c>
      <c r="F6" s="1">
        <v>14</v>
      </c>
      <c r="G6" s="9">
        <v>3.7</v>
      </c>
      <c r="H6" s="9">
        <v>-0.27</v>
      </c>
      <c r="I6" s="9">
        <v>3.43</v>
      </c>
      <c r="J6" s="9">
        <v>105.4</v>
      </c>
      <c r="K6" s="9">
        <v>100.7</v>
      </c>
      <c r="L6" s="9">
        <v>4.7</v>
      </c>
      <c r="M6" s="9">
        <v>77.7</v>
      </c>
      <c r="N6" s="9">
        <v>0.29299999999999998</v>
      </c>
      <c r="O6" s="9">
        <v>0.29399999999999998</v>
      </c>
      <c r="P6" s="9">
        <v>0.54</v>
      </c>
      <c r="Q6" s="1">
        <v>0</v>
      </c>
      <c r="R6" s="9">
        <v>0.498</v>
      </c>
      <c r="S6" s="9">
        <v>14</v>
      </c>
      <c r="T6" s="9">
        <v>23.9</v>
      </c>
      <c r="U6" s="9">
        <v>0.224</v>
      </c>
      <c r="V6" s="1">
        <v>0</v>
      </c>
      <c r="W6" s="9">
        <v>0.48599999999999999</v>
      </c>
      <c r="X6" s="9">
        <v>16.7</v>
      </c>
      <c r="Y6" s="9">
        <v>75.8</v>
      </c>
      <c r="Z6" s="9">
        <v>0.23599999999999999</v>
      </c>
      <c r="AA6" s="5"/>
      <c r="AB6" s="5"/>
      <c r="AC6" s="5">
        <f t="shared" si="1"/>
        <v>1</v>
      </c>
      <c r="AD6" s="5">
        <f t="shared" si="2"/>
        <v>3</v>
      </c>
      <c r="AE6" s="5">
        <f t="shared" si="3"/>
        <v>3</v>
      </c>
      <c r="AF6" s="5">
        <f t="shared" si="0"/>
        <v>3</v>
      </c>
      <c r="AG6" s="5">
        <f t="shared" si="4"/>
        <v>3</v>
      </c>
      <c r="AH6" s="5">
        <f t="shared" si="5"/>
        <v>3</v>
      </c>
      <c r="AI6" s="5">
        <f t="shared" si="6"/>
        <v>9</v>
      </c>
      <c r="AJ6" s="5">
        <f t="shared" si="7"/>
        <v>3</v>
      </c>
      <c r="AK6" s="5">
        <f t="shared" si="8"/>
        <v>4</v>
      </c>
      <c r="AL6" s="5">
        <f t="shared" si="9"/>
        <v>2</v>
      </c>
      <c r="AM6" s="5">
        <f t="shared" si="10"/>
        <v>3</v>
      </c>
      <c r="AN6" s="5">
        <f t="shared" si="11"/>
        <v>11</v>
      </c>
      <c r="AO6" s="5">
        <f t="shared" si="12"/>
        <v>2</v>
      </c>
      <c r="AP6" s="5">
        <f t="shared" si="13"/>
        <v>8</v>
      </c>
      <c r="AQ6" s="5">
        <f t="shared" si="14"/>
        <v>3</v>
      </c>
      <c r="AR6" s="5"/>
      <c r="AS6" s="5">
        <f t="shared" si="15"/>
        <v>4</v>
      </c>
      <c r="AT6" s="5">
        <f t="shared" si="16"/>
        <v>4</v>
      </c>
      <c r="AU6" s="5">
        <f t="shared" si="15"/>
        <v>5</v>
      </c>
      <c r="AV6" s="5">
        <f t="shared" si="17"/>
        <v>4</v>
      </c>
      <c r="AW6" s="5"/>
      <c r="AX6" s="5">
        <f t="shared" si="18"/>
        <v>4</v>
      </c>
      <c r="AY6" s="5">
        <f t="shared" si="19"/>
        <v>2</v>
      </c>
      <c r="AZ6" s="5">
        <f t="shared" si="19"/>
        <v>9</v>
      </c>
      <c r="BA6" s="5">
        <f t="shared" si="20"/>
        <v>8</v>
      </c>
    </row>
    <row r="7" spans="1:53" x14ac:dyDescent="0.25">
      <c r="A7" s="6" t="s">
        <v>49</v>
      </c>
      <c r="B7" s="8">
        <v>26</v>
      </c>
      <c r="C7" s="1">
        <v>22</v>
      </c>
      <c r="D7" s="1">
        <v>18</v>
      </c>
      <c r="E7" s="1">
        <v>25</v>
      </c>
      <c r="F7" s="1">
        <v>15</v>
      </c>
      <c r="G7" s="9">
        <v>2.95</v>
      </c>
      <c r="H7" s="9">
        <v>-0.31</v>
      </c>
      <c r="I7" s="9">
        <v>2.64</v>
      </c>
      <c r="J7" s="9">
        <v>109.5</v>
      </c>
      <c r="K7" s="9">
        <v>105.8</v>
      </c>
      <c r="L7" s="9">
        <v>3.7</v>
      </c>
      <c r="M7" s="9">
        <v>80</v>
      </c>
      <c r="N7" s="9">
        <v>0.27700000000000002</v>
      </c>
      <c r="O7" s="9">
        <v>0.29199999999999998</v>
      </c>
      <c r="P7" s="9">
        <v>0.53500000000000003</v>
      </c>
      <c r="Q7" s="1">
        <v>0</v>
      </c>
      <c r="R7" s="9">
        <v>0.48899999999999999</v>
      </c>
      <c r="S7" s="9">
        <v>13.7</v>
      </c>
      <c r="T7" s="9">
        <v>32.799999999999997</v>
      </c>
      <c r="U7" s="9">
        <v>0.224</v>
      </c>
      <c r="V7" s="1">
        <v>0</v>
      </c>
      <c r="W7" s="9">
        <v>0.504</v>
      </c>
      <c r="X7" s="9">
        <v>15</v>
      </c>
      <c r="Y7" s="9">
        <v>77.2</v>
      </c>
      <c r="Z7" s="9">
        <v>0.23699999999999999</v>
      </c>
      <c r="AA7" s="5"/>
      <c r="AB7" s="5"/>
      <c r="AC7" s="5">
        <f t="shared" si="1"/>
        <v>11</v>
      </c>
      <c r="AD7" s="5">
        <f t="shared" si="2"/>
        <v>4</v>
      </c>
      <c r="AE7" s="5">
        <f t="shared" si="3"/>
        <v>4</v>
      </c>
      <c r="AF7" s="5">
        <f t="shared" si="0"/>
        <v>4</v>
      </c>
      <c r="AG7" s="5">
        <f t="shared" si="4"/>
        <v>4</v>
      </c>
      <c r="AH7" s="5">
        <f t="shared" si="5"/>
        <v>4</v>
      </c>
      <c r="AI7" s="5">
        <f t="shared" si="6"/>
        <v>10</v>
      </c>
      <c r="AJ7" s="5">
        <f t="shared" si="7"/>
        <v>4</v>
      </c>
      <c r="AK7" s="5">
        <f t="shared" si="8"/>
        <v>3</v>
      </c>
      <c r="AL7" s="5">
        <f t="shared" si="9"/>
        <v>8</v>
      </c>
      <c r="AM7" s="5">
        <f t="shared" si="10"/>
        <v>4</v>
      </c>
      <c r="AN7" s="5">
        <f t="shared" si="11"/>
        <v>3</v>
      </c>
      <c r="AO7" s="5">
        <f t="shared" si="12"/>
        <v>5</v>
      </c>
      <c r="AP7" s="5">
        <f t="shared" si="13"/>
        <v>9</v>
      </c>
      <c r="AQ7" s="5">
        <f t="shared" si="14"/>
        <v>5</v>
      </c>
      <c r="AR7" s="5"/>
      <c r="AS7" s="5">
        <f t="shared" si="15"/>
        <v>7</v>
      </c>
      <c r="AT7" s="5">
        <f t="shared" si="16"/>
        <v>2</v>
      </c>
      <c r="AU7" s="5">
        <f t="shared" si="15"/>
        <v>1</v>
      </c>
      <c r="AV7" s="5">
        <f t="shared" si="17"/>
        <v>4</v>
      </c>
      <c r="AW7" s="5"/>
      <c r="AX7" s="5">
        <f t="shared" si="18"/>
        <v>8</v>
      </c>
      <c r="AY7" s="5">
        <f t="shared" si="19"/>
        <v>4</v>
      </c>
      <c r="AZ7" s="5">
        <f t="shared" si="19"/>
        <v>6</v>
      </c>
      <c r="BA7" s="5">
        <f t="shared" si="20"/>
        <v>9</v>
      </c>
    </row>
    <row r="8" spans="1:53" x14ac:dyDescent="0.25">
      <c r="A8" s="6" t="s">
        <v>50</v>
      </c>
      <c r="B8" s="8">
        <v>28.9</v>
      </c>
      <c r="C8" s="1">
        <v>19</v>
      </c>
      <c r="D8" s="1">
        <v>21</v>
      </c>
      <c r="E8" s="1">
        <v>19</v>
      </c>
      <c r="F8" s="1">
        <v>21</v>
      </c>
      <c r="G8" s="9">
        <v>-0.35</v>
      </c>
      <c r="H8" s="9">
        <v>0.03</v>
      </c>
      <c r="I8" s="9">
        <v>-0.32</v>
      </c>
      <c r="J8" s="9">
        <v>101.5</v>
      </c>
      <c r="K8" s="9">
        <v>102</v>
      </c>
      <c r="L8" s="9">
        <v>-0.5</v>
      </c>
      <c r="M8" s="9">
        <v>79.099999999999994</v>
      </c>
      <c r="N8" s="9">
        <v>0.27</v>
      </c>
      <c r="O8" s="9">
        <v>0.34200000000000003</v>
      </c>
      <c r="P8" s="9">
        <v>0.53300000000000003</v>
      </c>
      <c r="Q8" s="1">
        <v>0</v>
      </c>
      <c r="R8" s="9">
        <v>0.48599999999999999</v>
      </c>
      <c r="S8" s="9">
        <v>13.9</v>
      </c>
      <c r="T8" s="9">
        <v>18.7</v>
      </c>
      <c r="U8" s="9">
        <v>0.222</v>
      </c>
      <c r="V8" s="1">
        <v>0</v>
      </c>
      <c r="W8" s="9">
        <v>0.496</v>
      </c>
      <c r="X8" s="9">
        <v>16.3</v>
      </c>
      <c r="Y8" s="9">
        <v>78</v>
      </c>
      <c r="Z8" s="9">
        <v>0.23799999999999999</v>
      </c>
      <c r="AA8" s="5"/>
      <c r="AB8" s="5"/>
      <c r="AC8" s="5">
        <f t="shared" si="1"/>
        <v>3</v>
      </c>
      <c r="AD8" s="5">
        <f t="shared" si="2"/>
        <v>5</v>
      </c>
      <c r="AE8" s="5">
        <f t="shared" si="3"/>
        <v>5</v>
      </c>
      <c r="AF8" s="5">
        <f t="shared" si="0"/>
        <v>5</v>
      </c>
      <c r="AG8" s="5">
        <f t="shared" si="4"/>
        <v>5</v>
      </c>
      <c r="AH8" s="5">
        <f t="shared" si="5"/>
        <v>5</v>
      </c>
      <c r="AI8" s="5">
        <f t="shared" si="6"/>
        <v>7</v>
      </c>
      <c r="AJ8" s="5">
        <f t="shared" si="7"/>
        <v>5</v>
      </c>
      <c r="AK8" s="5">
        <f t="shared" si="8"/>
        <v>7</v>
      </c>
      <c r="AL8" s="5">
        <f t="shared" si="9"/>
        <v>4</v>
      </c>
      <c r="AM8" s="5">
        <f t="shared" si="10"/>
        <v>5</v>
      </c>
      <c r="AN8" s="5">
        <f t="shared" si="11"/>
        <v>5</v>
      </c>
      <c r="AO8" s="5">
        <f t="shared" si="12"/>
        <v>8</v>
      </c>
      <c r="AP8" s="5">
        <f t="shared" si="13"/>
        <v>4</v>
      </c>
      <c r="AQ8" s="5">
        <f t="shared" si="14"/>
        <v>6</v>
      </c>
      <c r="AR8" s="5"/>
      <c r="AS8" s="5">
        <f t="shared" si="15"/>
        <v>8</v>
      </c>
      <c r="AT8" s="5">
        <f t="shared" si="16"/>
        <v>3</v>
      </c>
      <c r="AU8" s="5">
        <f t="shared" si="15"/>
        <v>12</v>
      </c>
      <c r="AV8" s="5">
        <f t="shared" si="17"/>
        <v>6</v>
      </c>
      <c r="AW8" s="5"/>
      <c r="AX8" s="5">
        <f t="shared" si="18"/>
        <v>5</v>
      </c>
      <c r="AY8" s="5">
        <f t="shared" si="19"/>
        <v>3</v>
      </c>
      <c r="AZ8" s="5">
        <f t="shared" si="19"/>
        <v>4</v>
      </c>
      <c r="BA8" s="5">
        <f t="shared" si="20"/>
        <v>10</v>
      </c>
    </row>
    <row r="9" spans="1:53" x14ac:dyDescent="0.25">
      <c r="A9" s="6" t="s">
        <v>51</v>
      </c>
      <c r="B9" s="8">
        <v>26.5</v>
      </c>
      <c r="C9" s="1">
        <v>19</v>
      </c>
      <c r="D9" s="1">
        <v>21</v>
      </c>
      <c r="E9" s="1">
        <v>18</v>
      </c>
      <c r="F9" s="1">
        <v>22</v>
      </c>
      <c r="G9" s="9">
        <v>-1.48</v>
      </c>
      <c r="H9" s="9">
        <v>0.47</v>
      </c>
      <c r="I9" s="9">
        <v>-1.01</v>
      </c>
      <c r="J9" s="9">
        <v>101.1</v>
      </c>
      <c r="K9" s="9">
        <v>102.9</v>
      </c>
      <c r="L9" s="9">
        <v>-1.8</v>
      </c>
      <c r="M9" s="9">
        <v>81.099999999999994</v>
      </c>
      <c r="N9" s="9">
        <v>0.32</v>
      </c>
      <c r="O9" s="9">
        <v>0.27900000000000003</v>
      </c>
      <c r="P9" s="9">
        <v>0.52700000000000002</v>
      </c>
      <c r="Q9" s="1">
        <v>0</v>
      </c>
      <c r="R9" s="9">
        <v>0.47499999999999998</v>
      </c>
      <c r="S9" s="9">
        <v>14.8</v>
      </c>
      <c r="T9" s="9">
        <v>22.4</v>
      </c>
      <c r="U9" s="9">
        <v>0.252</v>
      </c>
      <c r="V9" s="1">
        <v>0</v>
      </c>
      <c r="W9" s="9">
        <v>0.48199999999999998</v>
      </c>
      <c r="X9" s="9">
        <v>14.2</v>
      </c>
      <c r="Y9" s="9">
        <v>78.2</v>
      </c>
      <c r="Z9" s="9">
        <v>0.251</v>
      </c>
      <c r="AA9" s="5"/>
      <c r="AB9" s="5"/>
      <c r="AC9" s="5">
        <f t="shared" si="1"/>
        <v>9</v>
      </c>
      <c r="AD9" s="5">
        <f t="shared" si="2"/>
        <v>5</v>
      </c>
      <c r="AE9" s="5">
        <f t="shared" si="3"/>
        <v>5</v>
      </c>
      <c r="AF9" s="5">
        <f t="shared" si="0"/>
        <v>6</v>
      </c>
      <c r="AG9" s="5">
        <f t="shared" si="4"/>
        <v>6</v>
      </c>
      <c r="AH9" s="5">
        <f t="shared" si="5"/>
        <v>6</v>
      </c>
      <c r="AI9" s="5">
        <f t="shared" si="6"/>
        <v>3</v>
      </c>
      <c r="AJ9" s="5">
        <f t="shared" si="7"/>
        <v>6</v>
      </c>
      <c r="AK9" s="5">
        <f t="shared" si="8"/>
        <v>9</v>
      </c>
      <c r="AL9" s="5">
        <f t="shared" si="9"/>
        <v>6</v>
      </c>
      <c r="AM9" s="5">
        <f t="shared" si="10"/>
        <v>6</v>
      </c>
      <c r="AN9" s="5">
        <f t="shared" si="11"/>
        <v>1</v>
      </c>
      <c r="AO9" s="5">
        <f t="shared" si="12"/>
        <v>1</v>
      </c>
      <c r="AP9" s="5">
        <f t="shared" si="13"/>
        <v>12</v>
      </c>
      <c r="AQ9" s="5">
        <f t="shared" si="14"/>
        <v>10</v>
      </c>
      <c r="AR9" s="5"/>
      <c r="AS9" s="5">
        <f t="shared" si="15"/>
        <v>10</v>
      </c>
      <c r="AT9" s="5">
        <f t="shared" si="16"/>
        <v>6</v>
      </c>
      <c r="AU9" s="5">
        <f t="shared" si="15"/>
        <v>8</v>
      </c>
      <c r="AV9" s="5">
        <f t="shared" si="17"/>
        <v>1</v>
      </c>
      <c r="AW9" s="5"/>
      <c r="AX9" s="5">
        <f t="shared" si="18"/>
        <v>3</v>
      </c>
      <c r="AY9" s="5">
        <f t="shared" si="19"/>
        <v>8</v>
      </c>
      <c r="AZ9" s="5">
        <f t="shared" si="19"/>
        <v>2</v>
      </c>
      <c r="BA9" s="5">
        <f t="shared" si="20"/>
        <v>12</v>
      </c>
    </row>
    <row r="10" spans="1:53" x14ac:dyDescent="0.25">
      <c r="A10" s="6" t="s">
        <v>52</v>
      </c>
      <c r="B10" s="8">
        <v>27.2</v>
      </c>
      <c r="C10" s="1">
        <v>18</v>
      </c>
      <c r="D10" s="1">
        <v>22</v>
      </c>
      <c r="E10" s="1">
        <v>17</v>
      </c>
      <c r="F10" s="1">
        <v>23</v>
      </c>
      <c r="G10" s="9">
        <v>-1.63</v>
      </c>
      <c r="H10" s="9">
        <v>0.11</v>
      </c>
      <c r="I10" s="9">
        <v>-1.52</v>
      </c>
      <c r="J10" s="9">
        <v>103.3</v>
      </c>
      <c r="K10" s="9">
        <v>105.3</v>
      </c>
      <c r="L10" s="9">
        <v>-2</v>
      </c>
      <c r="M10" s="9">
        <v>78.7</v>
      </c>
      <c r="N10" s="9">
        <v>0.23</v>
      </c>
      <c r="O10" s="9">
        <v>0.31900000000000001</v>
      </c>
      <c r="P10" s="9">
        <v>0.53300000000000003</v>
      </c>
      <c r="Q10" s="1">
        <v>0</v>
      </c>
      <c r="R10" s="9">
        <v>0.501</v>
      </c>
      <c r="S10" s="9">
        <v>14.9</v>
      </c>
      <c r="T10" s="9">
        <v>24.4</v>
      </c>
      <c r="U10" s="9">
        <v>0.17299999999999999</v>
      </c>
      <c r="V10" s="1">
        <v>0</v>
      </c>
      <c r="W10" s="9">
        <v>0.499</v>
      </c>
      <c r="X10" s="9">
        <v>14.6</v>
      </c>
      <c r="Y10" s="9">
        <v>74.599999999999994</v>
      </c>
      <c r="Z10" s="9">
        <v>0.216</v>
      </c>
      <c r="AA10" s="5"/>
      <c r="AB10" s="5"/>
      <c r="AC10" s="5">
        <f t="shared" si="1"/>
        <v>7</v>
      </c>
      <c r="AD10" s="5">
        <f t="shared" si="2"/>
        <v>8</v>
      </c>
      <c r="AE10" s="5">
        <f t="shared" si="3"/>
        <v>8</v>
      </c>
      <c r="AF10" s="5">
        <f t="shared" si="0"/>
        <v>7</v>
      </c>
      <c r="AG10" s="5">
        <f t="shared" si="4"/>
        <v>7</v>
      </c>
      <c r="AH10" s="5">
        <f t="shared" si="5"/>
        <v>7</v>
      </c>
      <c r="AI10" s="5">
        <f t="shared" si="6"/>
        <v>6</v>
      </c>
      <c r="AJ10" s="5">
        <f t="shared" si="7"/>
        <v>7</v>
      </c>
      <c r="AK10" s="5">
        <f t="shared" si="8"/>
        <v>5</v>
      </c>
      <c r="AL10" s="5">
        <f t="shared" si="9"/>
        <v>7</v>
      </c>
      <c r="AM10" s="5">
        <f t="shared" si="10"/>
        <v>7</v>
      </c>
      <c r="AN10" s="5">
        <f t="shared" si="11"/>
        <v>7</v>
      </c>
      <c r="AO10" s="5">
        <f t="shared" si="12"/>
        <v>12</v>
      </c>
      <c r="AP10" s="5">
        <f t="shared" si="13"/>
        <v>6</v>
      </c>
      <c r="AQ10" s="5">
        <f t="shared" si="14"/>
        <v>6</v>
      </c>
      <c r="AR10" s="5"/>
      <c r="AS10" s="5">
        <f t="shared" si="15"/>
        <v>3</v>
      </c>
      <c r="AT10" s="5">
        <f t="shared" si="16"/>
        <v>7</v>
      </c>
      <c r="AU10" s="5">
        <f t="shared" si="15"/>
        <v>4</v>
      </c>
      <c r="AV10" s="5">
        <f t="shared" si="17"/>
        <v>12</v>
      </c>
      <c r="AW10" s="5"/>
      <c r="AX10" s="5">
        <f t="shared" si="18"/>
        <v>6</v>
      </c>
      <c r="AY10" s="5">
        <f t="shared" si="19"/>
        <v>5</v>
      </c>
      <c r="AZ10" s="5">
        <f t="shared" si="19"/>
        <v>11</v>
      </c>
      <c r="BA10" s="5">
        <f t="shared" si="20"/>
        <v>5</v>
      </c>
    </row>
    <row r="11" spans="1:53" x14ac:dyDescent="0.25">
      <c r="A11" s="6" t="s">
        <v>42</v>
      </c>
      <c r="B11" s="8">
        <v>28.3</v>
      </c>
      <c r="C11" s="1">
        <v>17</v>
      </c>
      <c r="D11" s="1">
        <v>23</v>
      </c>
      <c r="E11" s="1">
        <v>17</v>
      </c>
      <c r="F11" s="1">
        <v>23</v>
      </c>
      <c r="G11" s="9">
        <v>-1.63</v>
      </c>
      <c r="H11" s="9">
        <v>-0.02</v>
      </c>
      <c r="I11" s="9">
        <v>-1.65</v>
      </c>
      <c r="J11" s="9">
        <v>100.1</v>
      </c>
      <c r="K11" s="9">
        <v>102.2</v>
      </c>
      <c r="L11" s="9">
        <v>-2.1</v>
      </c>
      <c r="M11" s="9">
        <v>78.599999999999994</v>
      </c>
      <c r="N11" s="9">
        <v>0.28499999999999998</v>
      </c>
      <c r="O11" s="9">
        <v>0.29199999999999998</v>
      </c>
      <c r="P11" s="9">
        <v>0.52500000000000002</v>
      </c>
      <c r="Q11" s="1">
        <v>0</v>
      </c>
      <c r="R11" s="9">
        <v>0.47399999999999998</v>
      </c>
      <c r="S11" s="9">
        <v>14.3</v>
      </c>
      <c r="T11" s="9">
        <v>19.3</v>
      </c>
      <c r="U11" s="9">
        <v>0.23400000000000001</v>
      </c>
      <c r="V11" s="1">
        <v>0</v>
      </c>
      <c r="W11" s="9">
        <v>0.51300000000000001</v>
      </c>
      <c r="X11" s="9">
        <v>16.8</v>
      </c>
      <c r="Y11" s="9">
        <v>77.599999999999994</v>
      </c>
      <c r="Z11" s="9">
        <v>0.19900000000000001</v>
      </c>
      <c r="AA11" s="5"/>
      <c r="AB11" s="5"/>
      <c r="AC11" s="5">
        <f t="shared" si="1"/>
        <v>5</v>
      </c>
      <c r="AD11" s="5">
        <f t="shared" si="2"/>
        <v>9</v>
      </c>
      <c r="AE11" s="5">
        <f t="shared" si="3"/>
        <v>9</v>
      </c>
      <c r="AF11" s="5">
        <f t="shared" si="0"/>
        <v>7</v>
      </c>
      <c r="AG11" s="5">
        <f t="shared" si="4"/>
        <v>7</v>
      </c>
      <c r="AH11" s="5">
        <f t="shared" si="5"/>
        <v>7</v>
      </c>
      <c r="AI11" s="5">
        <f t="shared" si="6"/>
        <v>8</v>
      </c>
      <c r="AJ11" s="5">
        <f t="shared" si="7"/>
        <v>8</v>
      </c>
      <c r="AK11" s="5">
        <f t="shared" si="8"/>
        <v>10</v>
      </c>
      <c r="AL11" s="5">
        <f t="shared" si="9"/>
        <v>5</v>
      </c>
      <c r="AM11" s="5">
        <f t="shared" si="10"/>
        <v>8</v>
      </c>
      <c r="AN11" s="5">
        <f t="shared" si="11"/>
        <v>8</v>
      </c>
      <c r="AO11" s="5">
        <f t="shared" si="12"/>
        <v>3</v>
      </c>
      <c r="AP11" s="5">
        <f t="shared" si="13"/>
        <v>9</v>
      </c>
      <c r="AQ11" s="5">
        <f t="shared" si="14"/>
        <v>11</v>
      </c>
      <c r="AR11" s="5"/>
      <c r="AS11" s="5">
        <f t="shared" si="15"/>
        <v>11</v>
      </c>
      <c r="AT11" s="5">
        <f t="shared" si="16"/>
        <v>5</v>
      </c>
      <c r="AU11" s="5">
        <f t="shared" si="15"/>
        <v>10</v>
      </c>
      <c r="AV11" s="5">
        <f t="shared" si="17"/>
        <v>3</v>
      </c>
      <c r="AW11" s="5"/>
      <c r="AX11" s="5">
        <f t="shared" si="18"/>
        <v>12</v>
      </c>
      <c r="AY11" s="5">
        <f t="shared" si="19"/>
        <v>1</v>
      </c>
      <c r="AZ11" s="5">
        <f t="shared" si="19"/>
        <v>5</v>
      </c>
      <c r="BA11" s="5">
        <f t="shared" si="20"/>
        <v>4</v>
      </c>
    </row>
    <row r="12" spans="1:53" x14ac:dyDescent="0.25">
      <c r="A12" s="6" t="s">
        <v>43</v>
      </c>
      <c r="B12" s="8">
        <v>25.9</v>
      </c>
      <c r="C12" s="1">
        <v>13</v>
      </c>
      <c r="D12" s="1">
        <v>27</v>
      </c>
      <c r="E12" s="1">
        <v>13</v>
      </c>
      <c r="F12" s="1">
        <v>27</v>
      </c>
      <c r="G12" s="9">
        <v>-4.05</v>
      </c>
      <c r="H12" s="9">
        <v>0.2</v>
      </c>
      <c r="I12" s="9">
        <v>-3.85</v>
      </c>
      <c r="J12" s="9">
        <v>103</v>
      </c>
      <c r="K12" s="9">
        <v>108.1</v>
      </c>
      <c r="L12" s="9">
        <v>-5.0999999999999996</v>
      </c>
      <c r="M12" s="9">
        <v>77.900000000000006</v>
      </c>
      <c r="N12" s="9">
        <v>0.26</v>
      </c>
      <c r="O12" s="9">
        <v>0.28999999999999998</v>
      </c>
      <c r="P12" s="9">
        <v>0.53200000000000003</v>
      </c>
      <c r="Q12" s="1">
        <v>0</v>
      </c>
      <c r="R12" s="9">
        <v>0.49099999999999999</v>
      </c>
      <c r="S12" s="9">
        <v>15.6</v>
      </c>
      <c r="T12" s="9">
        <v>26.4</v>
      </c>
      <c r="U12" s="9">
        <v>0.20399999999999999</v>
      </c>
      <c r="V12" s="1">
        <v>0</v>
      </c>
      <c r="W12" s="9">
        <v>0.50900000000000001</v>
      </c>
      <c r="X12" s="9">
        <v>13.9</v>
      </c>
      <c r="Y12" s="9">
        <v>76.8</v>
      </c>
      <c r="Z12" s="9">
        <v>0.248</v>
      </c>
      <c r="AA12" s="5"/>
      <c r="AB12" s="5"/>
      <c r="AC12" s="5">
        <f t="shared" si="1"/>
        <v>12</v>
      </c>
      <c r="AD12" s="5">
        <f t="shared" si="2"/>
        <v>10</v>
      </c>
      <c r="AE12" s="5">
        <f t="shared" si="3"/>
        <v>10</v>
      </c>
      <c r="AF12" s="5">
        <f t="shared" si="0"/>
        <v>9</v>
      </c>
      <c r="AG12" s="5">
        <f t="shared" si="4"/>
        <v>9</v>
      </c>
      <c r="AH12" s="5">
        <f t="shared" si="5"/>
        <v>9</v>
      </c>
      <c r="AI12" s="5">
        <f t="shared" si="6"/>
        <v>5</v>
      </c>
      <c r="AJ12" s="5">
        <f t="shared" si="7"/>
        <v>9</v>
      </c>
      <c r="AK12" s="5">
        <f t="shared" si="8"/>
        <v>6</v>
      </c>
      <c r="AL12" s="5">
        <f t="shared" si="9"/>
        <v>11</v>
      </c>
      <c r="AM12" s="5">
        <f t="shared" si="10"/>
        <v>9</v>
      </c>
      <c r="AN12" s="5">
        <f t="shared" si="11"/>
        <v>10</v>
      </c>
      <c r="AO12" s="5">
        <f t="shared" si="12"/>
        <v>9</v>
      </c>
      <c r="AP12" s="5">
        <f t="shared" si="13"/>
        <v>11</v>
      </c>
      <c r="AQ12" s="5">
        <f t="shared" si="14"/>
        <v>8</v>
      </c>
      <c r="AR12" s="5"/>
      <c r="AS12" s="5">
        <f t="shared" ref="AS12:AS18" si="21">RANK(R12,R$4:R$18,0)</f>
        <v>6</v>
      </c>
      <c r="AT12" s="5">
        <f t="shared" si="16"/>
        <v>10</v>
      </c>
      <c r="AU12" s="5">
        <f t="shared" ref="AU12:AU18" si="22">RANK(T12,T$4:T$18,0)</f>
        <v>2</v>
      </c>
      <c r="AV12" s="5">
        <f t="shared" si="17"/>
        <v>9</v>
      </c>
      <c r="AW12" s="5"/>
      <c r="AX12" s="5">
        <f t="shared" si="18"/>
        <v>10</v>
      </c>
      <c r="AY12" s="5">
        <f t="shared" si="19"/>
        <v>10</v>
      </c>
      <c r="AZ12" s="5">
        <f t="shared" si="19"/>
        <v>7</v>
      </c>
      <c r="BA12" s="5">
        <f t="shared" si="20"/>
        <v>11</v>
      </c>
    </row>
    <row r="13" spans="1:53" x14ac:dyDescent="0.25">
      <c r="A13" s="6" t="s">
        <v>53</v>
      </c>
      <c r="B13" s="8">
        <v>26.7</v>
      </c>
      <c r="C13" s="1">
        <v>19</v>
      </c>
      <c r="D13" s="1">
        <v>21</v>
      </c>
      <c r="E13" s="1">
        <v>12</v>
      </c>
      <c r="F13" s="1">
        <v>28</v>
      </c>
      <c r="G13" s="9">
        <v>-4.83</v>
      </c>
      <c r="H13" s="9">
        <v>0.32</v>
      </c>
      <c r="I13" s="9">
        <v>-4.51</v>
      </c>
      <c r="J13" s="9">
        <v>101.4</v>
      </c>
      <c r="K13" s="9">
        <v>107.5</v>
      </c>
      <c r="L13" s="9">
        <v>-6.1</v>
      </c>
      <c r="M13" s="9">
        <v>78.599999999999994</v>
      </c>
      <c r="N13" s="9">
        <v>0.27200000000000002</v>
      </c>
      <c r="O13" s="9">
        <v>0.308</v>
      </c>
      <c r="P13" s="9">
        <v>0.53</v>
      </c>
      <c r="Q13" s="1">
        <v>0</v>
      </c>
      <c r="R13" s="9">
        <v>0.48499999999999999</v>
      </c>
      <c r="S13" s="9">
        <v>15.1</v>
      </c>
      <c r="T13" s="9">
        <v>23.1</v>
      </c>
      <c r="U13" s="9">
        <v>0.218</v>
      </c>
      <c r="V13" s="1">
        <v>0</v>
      </c>
      <c r="W13" s="9">
        <v>0.50900000000000001</v>
      </c>
      <c r="X13" s="9">
        <v>14</v>
      </c>
      <c r="Y13" s="9">
        <v>75.2</v>
      </c>
      <c r="Z13" s="9">
        <v>0.187</v>
      </c>
      <c r="AA13" s="5"/>
      <c r="AB13" s="5"/>
      <c r="AC13" s="5">
        <f t="shared" si="1"/>
        <v>8</v>
      </c>
      <c r="AD13" s="5">
        <f t="shared" si="2"/>
        <v>5</v>
      </c>
      <c r="AE13" s="5">
        <f t="shared" si="3"/>
        <v>5</v>
      </c>
      <c r="AF13" s="5">
        <f t="shared" si="0"/>
        <v>10</v>
      </c>
      <c r="AG13" s="5">
        <f t="shared" si="4"/>
        <v>10</v>
      </c>
      <c r="AH13" s="5">
        <f t="shared" si="5"/>
        <v>10</v>
      </c>
      <c r="AI13" s="5">
        <f t="shared" si="6"/>
        <v>4</v>
      </c>
      <c r="AJ13" s="5">
        <f t="shared" si="7"/>
        <v>10</v>
      </c>
      <c r="AK13" s="5">
        <f t="shared" si="8"/>
        <v>8</v>
      </c>
      <c r="AL13" s="5">
        <f t="shared" si="9"/>
        <v>10</v>
      </c>
      <c r="AM13" s="5">
        <f t="shared" si="10"/>
        <v>10</v>
      </c>
      <c r="AN13" s="5">
        <f t="shared" si="11"/>
        <v>8</v>
      </c>
      <c r="AO13" s="5">
        <f t="shared" si="12"/>
        <v>7</v>
      </c>
      <c r="AP13" s="5">
        <f t="shared" si="13"/>
        <v>7</v>
      </c>
      <c r="AQ13" s="5">
        <f t="shared" si="14"/>
        <v>9</v>
      </c>
      <c r="AR13" s="5"/>
      <c r="AS13" s="5">
        <f t="shared" si="21"/>
        <v>9</v>
      </c>
      <c r="AT13" s="5">
        <f t="shared" si="16"/>
        <v>9</v>
      </c>
      <c r="AU13" s="5">
        <f t="shared" si="22"/>
        <v>6</v>
      </c>
      <c r="AV13" s="5">
        <f t="shared" si="17"/>
        <v>7</v>
      </c>
      <c r="AW13" s="5"/>
      <c r="AX13" s="5">
        <f t="shared" si="18"/>
        <v>10</v>
      </c>
      <c r="AY13" s="5">
        <f t="shared" si="19"/>
        <v>9</v>
      </c>
      <c r="AZ13" s="5">
        <f t="shared" si="19"/>
        <v>10</v>
      </c>
      <c r="BA13" s="5">
        <f t="shared" si="20"/>
        <v>3</v>
      </c>
    </row>
    <row r="14" spans="1:53" x14ac:dyDescent="0.25">
      <c r="A14" s="6" t="s">
        <v>44</v>
      </c>
      <c r="B14" s="8">
        <v>26.5</v>
      </c>
      <c r="C14" s="1">
        <v>11</v>
      </c>
      <c r="D14" s="1">
        <v>29</v>
      </c>
      <c r="E14" s="1">
        <v>11</v>
      </c>
      <c r="F14" s="1">
        <v>29</v>
      </c>
      <c r="G14" s="9">
        <v>-5.63</v>
      </c>
      <c r="H14" s="9">
        <v>0.55000000000000004</v>
      </c>
      <c r="I14" s="9">
        <v>-5.07</v>
      </c>
      <c r="J14" s="9">
        <v>98.7</v>
      </c>
      <c r="K14" s="9">
        <v>105.8</v>
      </c>
      <c r="L14" s="9">
        <v>-7.1</v>
      </c>
      <c r="M14" s="9">
        <v>79.599999999999994</v>
      </c>
      <c r="N14" s="9">
        <v>0.27400000000000002</v>
      </c>
      <c r="O14" s="9">
        <v>0.35599999999999998</v>
      </c>
      <c r="P14" s="9">
        <v>0.51800000000000002</v>
      </c>
      <c r="Q14" s="1">
        <v>0</v>
      </c>
      <c r="R14" s="9">
        <v>0.47299999999999998</v>
      </c>
      <c r="S14" s="9">
        <v>16</v>
      </c>
      <c r="T14" s="9">
        <v>22.8</v>
      </c>
      <c r="U14" s="9">
        <v>0.215</v>
      </c>
      <c r="V14" s="1">
        <v>0</v>
      </c>
      <c r="W14" s="9">
        <v>0.503</v>
      </c>
      <c r="X14" s="9">
        <v>14.3</v>
      </c>
      <c r="Y14" s="9">
        <v>76.5</v>
      </c>
      <c r="Z14" s="9">
        <v>0.217</v>
      </c>
      <c r="AA14" s="5"/>
      <c r="AB14" s="5"/>
      <c r="AC14" s="5">
        <f t="shared" si="1"/>
        <v>9</v>
      </c>
      <c r="AD14" s="5">
        <f t="shared" si="2"/>
        <v>11</v>
      </c>
      <c r="AE14" s="5">
        <f t="shared" si="3"/>
        <v>11</v>
      </c>
      <c r="AF14" s="5">
        <f t="shared" si="0"/>
        <v>11</v>
      </c>
      <c r="AG14" s="5">
        <f t="shared" si="4"/>
        <v>11</v>
      </c>
      <c r="AH14" s="5">
        <f t="shared" si="5"/>
        <v>11</v>
      </c>
      <c r="AI14" s="5">
        <f t="shared" si="6"/>
        <v>1</v>
      </c>
      <c r="AJ14" s="5">
        <f t="shared" si="7"/>
        <v>11</v>
      </c>
      <c r="AK14" s="5">
        <f t="shared" si="8"/>
        <v>12</v>
      </c>
      <c r="AL14" s="5">
        <f t="shared" si="9"/>
        <v>8</v>
      </c>
      <c r="AM14" s="5">
        <f t="shared" si="10"/>
        <v>11</v>
      </c>
      <c r="AN14" s="5">
        <f t="shared" si="11"/>
        <v>4</v>
      </c>
      <c r="AO14" s="5">
        <f t="shared" si="12"/>
        <v>6</v>
      </c>
      <c r="AP14" s="5">
        <f t="shared" si="13"/>
        <v>3</v>
      </c>
      <c r="AQ14" s="5">
        <f t="shared" si="14"/>
        <v>12</v>
      </c>
      <c r="AR14" s="5"/>
      <c r="AS14" s="5">
        <f t="shared" si="21"/>
        <v>12</v>
      </c>
      <c r="AT14" s="5">
        <f t="shared" si="16"/>
        <v>11</v>
      </c>
      <c r="AU14" s="5">
        <f t="shared" si="22"/>
        <v>7</v>
      </c>
      <c r="AV14" s="5">
        <f t="shared" si="17"/>
        <v>8</v>
      </c>
      <c r="AW14" s="5"/>
      <c r="AX14" s="5">
        <f t="shared" si="18"/>
        <v>7</v>
      </c>
      <c r="AY14" s="5">
        <f t="shared" si="19"/>
        <v>7</v>
      </c>
      <c r="AZ14" s="5">
        <f t="shared" si="19"/>
        <v>8</v>
      </c>
      <c r="BA14" s="5">
        <f t="shared" si="20"/>
        <v>6</v>
      </c>
    </row>
    <row r="15" spans="1:53" x14ac:dyDescent="0.25">
      <c r="A15" s="6" t="s">
        <v>45</v>
      </c>
      <c r="B15" s="8">
        <v>27.8</v>
      </c>
      <c r="C15" s="1">
        <v>9</v>
      </c>
      <c r="D15" s="1">
        <v>31</v>
      </c>
      <c r="E15" s="1">
        <v>8</v>
      </c>
      <c r="F15" s="1">
        <v>32</v>
      </c>
      <c r="G15" s="9">
        <v>-8.3000000000000007</v>
      </c>
      <c r="H15" s="9">
        <v>0.55000000000000004</v>
      </c>
      <c r="I15" s="9">
        <v>-7.75</v>
      </c>
      <c r="J15" s="9">
        <v>99.1</v>
      </c>
      <c r="K15" s="9">
        <v>109.9</v>
      </c>
      <c r="L15" s="9">
        <v>-10.8</v>
      </c>
      <c r="M15" s="9">
        <v>77</v>
      </c>
      <c r="N15" s="9">
        <v>0.254</v>
      </c>
      <c r="O15" s="9">
        <v>0.32300000000000001</v>
      </c>
      <c r="P15" s="9">
        <v>0.53900000000000003</v>
      </c>
      <c r="Q15" s="1">
        <v>0</v>
      </c>
      <c r="R15" s="9">
        <v>0.497</v>
      </c>
      <c r="S15" s="9">
        <v>17.2</v>
      </c>
      <c r="T15" s="9">
        <v>20.9</v>
      </c>
      <c r="U15" s="9">
        <v>0.20399999999999999</v>
      </c>
      <c r="V15" s="1">
        <v>0</v>
      </c>
      <c r="W15" s="9">
        <v>0.50600000000000001</v>
      </c>
      <c r="X15" s="9">
        <v>13.4</v>
      </c>
      <c r="Y15" s="9">
        <v>73</v>
      </c>
      <c r="Z15" s="9">
        <v>0.22500000000000001</v>
      </c>
      <c r="AA15" s="5"/>
      <c r="AB15" s="5"/>
      <c r="AC15" s="5">
        <f t="shared" si="1"/>
        <v>6</v>
      </c>
      <c r="AD15" s="5">
        <f t="shared" si="2"/>
        <v>12</v>
      </c>
      <c r="AE15" s="5">
        <f t="shared" si="3"/>
        <v>12</v>
      </c>
      <c r="AF15" s="5">
        <f t="shared" si="0"/>
        <v>12</v>
      </c>
      <c r="AG15" s="5">
        <f t="shared" si="4"/>
        <v>12</v>
      </c>
      <c r="AH15" s="5">
        <f t="shared" si="5"/>
        <v>12</v>
      </c>
      <c r="AI15" s="5">
        <f t="shared" si="6"/>
        <v>1</v>
      </c>
      <c r="AJ15" s="5">
        <f t="shared" si="7"/>
        <v>12</v>
      </c>
      <c r="AK15" s="5">
        <f t="shared" si="8"/>
        <v>11</v>
      </c>
      <c r="AL15" s="5">
        <f t="shared" si="9"/>
        <v>12</v>
      </c>
      <c r="AM15" s="5">
        <f t="shared" si="10"/>
        <v>12</v>
      </c>
      <c r="AN15" s="5">
        <f t="shared" si="11"/>
        <v>12</v>
      </c>
      <c r="AO15" s="5">
        <f t="shared" si="12"/>
        <v>10</v>
      </c>
      <c r="AP15" s="5">
        <f t="shared" si="13"/>
        <v>5</v>
      </c>
      <c r="AQ15" s="5">
        <f t="shared" si="14"/>
        <v>4</v>
      </c>
      <c r="AR15" s="5"/>
      <c r="AS15" s="5">
        <f t="shared" si="21"/>
        <v>5</v>
      </c>
      <c r="AT15" s="5">
        <f t="shared" si="16"/>
        <v>12</v>
      </c>
      <c r="AU15" s="5">
        <f t="shared" si="22"/>
        <v>9</v>
      </c>
      <c r="AV15" s="5">
        <f t="shared" si="17"/>
        <v>9</v>
      </c>
      <c r="AW15" s="5"/>
      <c r="AX15" s="5">
        <f t="shared" si="18"/>
        <v>9</v>
      </c>
      <c r="AY15" s="5">
        <f t="shared" si="19"/>
        <v>11</v>
      </c>
      <c r="AZ15" s="5">
        <f t="shared" si="19"/>
        <v>12</v>
      </c>
      <c r="BA15" s="5">
        <f t="shared" si="20"/>
        <v>7</v>
      </c>
    </row>
    <row r="16" spans="1:53" x14ac:dyDescent="0.25">
      <c r="A16" s="6"/>
      <c r="B16" s="8"/>
      <c r="C16" s="1"/>
      <c r="D16" s="1"/>
      <c r="E16" s="1"/>
      <c r="F16" s="1"/>
      <c r="G16" s="9"/>
      <c r="H16" s="9"/>
      <c r="I16" s="9"/>
      <c r="J16" s="9"/>
      <c r="K16" s="9"/>
      <c r="L16" s="9"/>
      <c r="M16" s="9"/>
      <c r="N16" s="9"/>
      <c r="O16" s="9"/>
      <c r="P16" s="9"/>
      <c r="Q16" s="1"/>
      <c r="R16" s="9"/>
      <c r="S16" s="9"/>
      <c r="T16" s="9"/>
      <c r="U16" s="9"/>
      <c r="V16" s="1"/>
      <c r="W16" s="9"/>
      <c r="X16" s="9"/>
      <c r="Y16" s="9"/>
      <c r="Z16" s="9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</row>
    <row r="17" spans="1:53" x14ac:dyDescent="0.25">
      <c r="A17" s="6"/>
      <c r="B17" s="8"/>
      <c r="C17" s="1"/>
      <c r="D17" s="1"/>
      <c r="E17" s="1"/>
      <c r="F17" s="1"/>
      <c r="G17" s="9"/>
      <c r="H17" s="9"/>
      <c r="I17" s="9"/>
      <c r="J17" s="9"/>
      <c r="K17" s="9"/>
      <c r="L17" s="9"/>
      <c r="M17" s="9"/>
      <c r="N17" s="9"/>
      <c r="O17" s="9"/>
      <c r="P17" s="9"/>
      <c r="Q17" s="1"/>
      <c r="R17" s="9"/>
      <c r="S17" s="9"/>
      <c r="T17" s="9"/>
      <c r="U17" s="9"/>
      <c r="V17" s="1"/>
      <c r="W17" s="9"/>
      <c r="X17" s="9"/>
      <c r="Y17" s="9"/>
      <c r="Z17" s="9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</row>
    <row r="18" spans="1:53" x14ac:dyDescent="0.25">
      <c r="A18" s="6"/>
      <c r="B18" s="1"/>
      <c r="C18" s="1"/>
      <c r="D18" s="1"/>
      <c r="E18" s="1"/>
      <c r="F18" s="1"/>
      <c r="G18" s="9"/>
      <c r="H18" s="9"/>
      <c r="I18" s="9"/>
      <c r="J18" s="9"/>
      <c r="K18" s="9"/>
      <c r="L18" s="9"/>
      <c r="M18" s="9"/>
      <c r="N18" s="9"/>
      <c r="O18" s="9"/>
      <c r="P18" s="9"/>
      <c r="Q18" s="1"/>
      <c r="R18" s="9"/>
      <c r="S18" s="9"/>
      <c r="T18" s="9"/>
      <c r="U18" s="9"/>
      <c r="V18" s="1"/>
      <c r="W18" s="9"/>
      <c r="X18" s="9"/>
      <c r="Y18" s="9"/>
      <c r="Z18" s="9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</row>
    <row r="19" spans="1:53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9"/>
      <c r="S19" s="9"/>
      <c r="T19" s="9"/>
      <c r="U19" s="9"/>
      <c r="V19" s="1"/>
      <c r="W19" s="1"/>
      <c r="X19" s="1"/>
      <c r="Y19" s="1"/>
      <c r="Z19" s="1"/>
      <c r="AA19" s="5"/>
      <c r="AB19" s="5"/>
    </row>
    <row r="20" spans="1:53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5"/>
      <c r="AB20" s="5"/>
    </row>
    <row r="21" spans="1:53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5"/>
      <c r="AB21" s="5"/>
    </row>
    <row r="22" spans="1:53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5"/>
      <c r="AB22" s="5"/>
    </row>
    <row r="23" spans="1:53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5"/>
      <c r="AB23" s="5"/>
    </row>
    <row r="24" spans="1:53" ht="15.75" customHeight="1" x14ac:dyDescent="0.25">
      <c r="A24" s="6" t="s">
        <v>41</v>
      </c>
      <c r="B24" s="9">
        <f>AVERAGE(B4:B22)</f>
        <v>27.558333333333337</v>
      </c>
      <c r="C24" s="9">
        <f t="shared" ref="C24:Z24" si="23">AVERAGE(C4:C22)</f>
        <v>20</v>
      </c>
      <c r="D24" s="9">
        <f t="shared" si="23"/>
        <v>20</v>
      </c>
      <c r="E24" s="9">
        <f t="shared" si="23"/>
        <v>19.416666666666668</v>
      </c>
      <c r="F24" s="9">
        <f t="shared" si="23"/>
        <v>20.583333333333332</v>
      </c>
      <c r="G24" s="9">
        <f t="shared" si="23"/>
        <v>-1.6666666666669272E-3</v>
      </c>
      <c r="H24" s="9">
        <f t="shared" si="23"/>
        <v>8.3333333333331561E-4</v>
      </c>
      <c r="I24" s="9">
        <f t="shared" si="23"/>
        <v>-8.3333333333331561E-4</v>
      </c>
      <c r="J24" s="9">
        <f t="shared" si="23"/>
        <v>104.14166666666667</v>
      </c>
      <c r="K24" s="9">
        <f t="shared" si="23"/>
        <v>104.2</v>
      </c>
      <c r="L24" s="9">
        <f t="shared" si="23"/>
        <v>-5.8333333333333716E-2</v>
      </c>
      <c r="M24" s="9">
        <f t="shared" si="23"/>
        <v>79.01666666666668</v>
      </c>
      <c r="N24" s="9">
        <f t="shared" si="23"/>
        <v>0.27125000000000005</v>
      </c>
      <c r="O24" s="9">
        <f t="shared" si="23"/>
        <v>0.32324999999999998</v>
      </c>
      <c r="P24" s="9">
        <f t="shared" si="23"/>
        <v>0.54049999999999998</v>
      </c>
      <c r="Q24" s="9"/>
      <c r="R24" s="9">
        <f t="shared" si="23"/>
        <v>0.49675000000000002</v>
      </c>
      <c r="S24" s="9">
        <f t="shared" si="23"/>
        <v>14.741666666666665</v>
      </c>
      <c r="T24" s="9">
        <f t="shared" si="23"/>
        <v>23.283333333333331</v>
      </c>
      <c r="U24" s="9">
        <f t="shared" si="23"/>
        <v>0.217</v>
      </c>
      <c r="V24" s="9"/>
      <c r="W24" s="9">
        <f t="shared" si="23"/>
        <v>0.49691666666666673</v>
      </c>
      <c r="X24" s="9">
        <f t="shared" si="23"/>
        <v>14.725000000000001</v>
      </c>
      <c r="Y24" s="9">
        <f t="shared" si="23"/>
        <v>76.63333333333334</v>
      </c>
      <c r="Z24" s="9">
        <f t="shared" si="23"/>
        <v>0.21741666666666667</v>
      </c>
      <c r="AA24" s="5"/>
      <c r="AB24" s="5"/>
    </row>
    <row r="25" spans="1:53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5"/>
      <c r="AB25" s="5"/>
    </row>
    <row r="26" spans="1:53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5"/>
      <c r="AB26" s="5"/>
    </row>
    <row r="27" spans="1:53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5"/>
      <c r="AB27" s="5"/>
    </row>
    <row r="28" spans="1:53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5"/>
      <c r="AB28" s="5"/>
    </row>
    <row r="29" spans="1:53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5"/>
      <c r="AB29" s="5"/>
    </row>
    <row r="30" spans="1:53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5"/>
      <c r="AB30" s="5"/>
    </row>
    <row r="31" spans="1:53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5"/>
      <c r="AB31" s="5"/>
    </row>
    <row r="32" spans="1:53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5"/>
      <c r="AB32" s="5"/>
    </row>
    <row r="33" spans="1:28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5"/>
      <c r="AB33" s="5"/>
    </row>
    <row r="34" spans="1:28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5"/>
      <c r="AB34" s="5"/>
    </row>
    <row r="35" spans="1:28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5"/>
      <c r="AB35" s="5"/>
    </row>
    <row r="36" spans="1:28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5"/>
      <c r="AB36" s="5"/>
    </row>
    <row r="37" spans="1:28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5"/>
      <c r="AB37" s="5"/>
    </row>
    <row r="38" spans="1:28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5"/>
      <c r="AB38" s="5"/>
    </row>
    <row r="39" spans="1:28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5"/>
      <c r="AB39" s="5"/>
    </row>
    <row r="40" spans="1:28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5"/>
      <c r="AB40" s="5"/>
    </row>
    <row r="41" spans="1:28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5"/>
      <c r="AB41" s="5"/>
    </row>
    <row r="42" spans="1:28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5"/>
      <c r="AB42" s="5"/>
    </row>
    <row r="43" spans="1:28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5"/>
      <c r="AB43" s="5"/>
    </row>
    <row r="44" spans="1:28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5"/>
      <c r="AB44" s="5"/>
    </row>
    <row r="45" spans="1:28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5"/>
      <c r="AB45" s="5"/>
    </row>
    <row r="46" spans="1:28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5"/>
      <c r="AB46" s="5"/>
    </row>
    <row r="47" spans="1:28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5"/>
      <c r="AB47" s="5"/>
    </row>
    <row r="48" spans="1:28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5"/>
      <c r="AB48" s="5"/>
    </row>
    <row r="49" spans="1:28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5"/>
      <c r="AB49" s="5"/>
    </row>
    <row r="50" spans="1:28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5"/>
      <c r="AB50" s="5"/>
    </row>
    <row r="51" spans="1:28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5"/>
      <c r="AB51" s="5"/>
    </row>
    <row r="52" spans="1:28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5"/>
      <c r="AB52" s="5"/>
    </row>
    <row r="53" spans="1:28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5"/>
      <c r="AB53" s="5"/>
    </row>
    <row r="54" spans="1:28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5"/>
      <c r="AB54" s="5"/>
    </row>
    <row r="55" spans="1:28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5"/>
      <c r="AB55" s="5"/>
    </row>
    <row r="56" spans="1:28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5"/>
      <c r="AB56" s="5"/>
    </row>
    <row r="57" spans="1:28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5"/>
      <c r="AB57" s="5"/>
    </row>
    <row r="58" spans="1:28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5"/>
      <c r="AB58" s="5"/>
    </row>
    <row r="59" spans="1:28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5"/>
      <c r="AB59" s="5"/>
    </row>
    <row r="60" spans="1:28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5"/>
      <c r="AB60" s="5"/>
    </row>
    <row r="61" spans="1:28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5"/>
      <c r="AB61" s="5"/>
    </row>
    <row r="62" spans="1:28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5"/>
      <c r="AB62" s="5"/>
    </row>
    <row r="63" spans="1:28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5"/>
      <c r="AB63" s="5"/>
    </row>
    <row r="64" spans="1:28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5"/>
      <c r="AB64" s="5"/>
    </row>
    <row r="65" spans="1:28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5"/>
      <c r="AB65" s="5"/>
    </row>
    <row r="66" spans="1:28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5"/>
      <c r="AB66" s="5"/>
    </row>
    <row r="67" spans="1:28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5"/>
      <c r="AB67" s="5"/>
    </row>
    <row r="68" spans="1:28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5"/>
      <c r="AB68" s="5"/>
    </row>
    <row r="69" spans="1:28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5"/>
      <c r="AB69" s="5"/>
    </row>
    <row r="70" spans="1:28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5"/>
      <c r="AB70" s="5"/>
    </row>
    <row r="71" spans="1:28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5"/>
      <c r="AB71" s="5"/>
    </row>
    <row r="72" spans="1:28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5"/>
      <c r="AB72" s="5"/>
    </row>
    <row r="73" spans="1:28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5"/>
      <c r="AB73" s="5"/>
    </row>
    <row r="74" spans="1:28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5"/>
      <c r="AB74" s="5"/>
    </row>
    <row r="75" spans="1:28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5"/>
      <c r="AB75" s="5"/>
    </row>
    <row r="76" spans="1:28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5"/>
      <c r="AB76" s="5"/>
    </row>
    <row r="77" spans="1:28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5"/>
      <c r="AB77" s="5"/>
    </row>
    <row r="78" spans="1:28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5"/>
      <c r="AB78" s="5"/>
    </row>
    <row r="79" spans="1:28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5"/>
      <c r="AB79" s="5"/>
    </row>
    <row r="80" spans="1:28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5"/>
      <c r="AB80" s="5"/>
    </row>
    <row r="81" spans="1:28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5"/>
      <c r="AB81" s="5"/>
    </row>
    <row r="82" spans="1:28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5"/>
      <c r="AB82" s="5"/>
    </row>
    <row r="83" spans="1:28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5"/>
      <c r="AB83" s="5"/>
    </row>
    <row r="84" spans="1:28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5"/>
      <c r="AB84" s="5"/>
    </row>
    <row r="85" spans="1:28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5"/>
      <c r="AB85" s="5"/>
    </row>
    <row r="86" spans="1:28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5"/>
      <c r="AB86" s="5"/>
    </row>
    <row r="87" spans="1:28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5"/>
      <c r="AB87" s="5"/>
    </row>
    <row r="88" spans="1:28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5"/>
      <c r="AB88" s="5"/>
    </row>
    <row r="89" spans="1:28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5"/>
      <c r="AB89" s="5"/>
    </row>
    <row r="90" spans="1:28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5"/>
      <c r="AB90" s="5"/>
    </row>
    <row r="91" spans="1:28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5"/>
      <c r="AB91" s="5"/>
    </row>
    <row r="92" spans="1:28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5"/>
      <c r="AB92" s="5"/>
    </row>
    <row r="93" spans="1:28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5"/>
      <c r="AB93" s="5"/>
    </row>
    <row r="94" spans="1:28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5"/>
      <c r="AB94" s="5"/>
    </row>
    <row r="95" spans="1:28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5"/>
      <c r="AB95" s="5"/>
    </row>
    <row r="96" spans="1:28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5"/>
      <c r="AB96" s="5"/>
    </row>
    <row r="97" spans="1:28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5"/>
      <c r="AB97" s="5"/>
    </row>
    <row r="98" spans="1:28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5"/>
      <c r="AB98" s="5"/>
    </row>
    <row r="99" spans="1:28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5"/>
      <c r="AB99" s="5"/>
    </row>
    <row r="100" spans="1:28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5"/>
      <c r="AB100" s="5"/>
    </row>
    <row r="101" spans="1:28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5"/>
      <c r="AB101" s="5"/>
    </row>
    <row r="102" spans="1:28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5"/>
      <c r="AB102" s="5"/>
    </row>
    <row r="103" spans="1:28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5"/>
      <c r="AB103" s="5"/>
    </row>
    <row r="104" spans="1:28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5"/>
      <c r="AB104" s="5"/>
    </row>
    <row r="105" spans="1:28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5"/>
      <c r="AB105" s="5"/>
    </row>
    <row r="106" spans="1:28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5"/>
      <c r="AB106" s="5"/>
    </row>
    <row r="107" spans="1:28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5"/>
      <c r="AB107" s="5"/>
    </row>
    <row r="108" spans="1:28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5"/>
      <c r="AB108" s="5"/>
    </row>
    <row r="109" spans="1:28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5"/>
      <c r="AB109" s="5"/>
    </row>
    <row r="110" spans="1:28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5"/>
      <c r="AB110" s="5"/>
    </row>
    <row r="111" spans="1:28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5"/>
      <c r="AB111" s="5"/>
    </row>
    <row r="112" spans="1:28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5"/>
      <c r="AB112" s="5"/>
    </row>
    <row r="113" spans="1:28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5"/>
      <c r="AB113" s="5"/>
    </row>
    <row r="114" spans="1:28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5"/>
      <c r="AB114" s="5"/>
    </row>
    <row r="115" spans="1:28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5"/>
      <c r="AB115" s="5"/>
    </row>
    <row r="116" spans="1:28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5"/>
      <c r="AB116" s="5"/>
    </row>
    <row r="117" spans="1:28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5"/>
      <c r="AB117" s="5"/>
    </row>
    <row r="118" spans="1:28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5"/>
      <c r="AB118" s="5"/>
    </row>
    <row r="119" spans="1:28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5"/>
      <c r="AB119" s="5"/>
    </row>
    <row r="120" spans="1:28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5"/>
      <c r="AB120" s="5"/>
    </row>
    <row r="121" spans="1:28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5"/>
      <c r="AB121" s="5"/>
    </row>
    <row r="122" spans="1:28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5"/>
      <c r="AB122" s="5"/>
    </row>
    <row r="123" spans="1:28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5"/>
      <c r="AB123" s="5"/>
    </row>
    <row r="124" spans="1:28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5"/>
      <c r="AB124" s="5"/>
    </row>
    <row r="125" spans="1:28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5"/>
      <c r="AB125" s="5"/>
    </row>
    <row r="126" spans="1:28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5"/>
      <c r="AB126" s="5"/>
    </row>
    <row r="127" spans="1:28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5"/>
      <c r="AB127" s="5"/>
    </row>
    <row r="128" spans="1:28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5"/>
      <c r="AB128" s="5"/>
    </row>
    <row r="129" spans="1:28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5"/>
      <c r="AB129" s="5"/>
    </row>
    <row r="130" spans="1:28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5"/>
      <c r="AB130" s="5"/>
    </row>
    <row r="131" spans="1:28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5"/>
      <c r="AB131" s="5"/>
    </row>
    <row r="132" spans="1:28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5"/>
      <c r="AB132" s="5"/>
    </row>
    <row r="133" spans="1:28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5"/>
      <c r="AB133" s="5"/>
    </row>
    <row r="134" spans="1:28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5"/>
      <c r="AB134" s="5"/>
    </row>
    <row r="135" spans="1:28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5"/>
      <c r="AB135" s="5"/>
    </row>
    <row r="136" spans="1:28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5"/>
      <c r="AB136" s="5"/>
    </row>
    <row r="137" spans="1:28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5"/>
      <c r="AB137" s="5"/>
    </row>
    <row r="138" spans="1:28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5"/>
      <c r="AB138" s="5"/>
    </row>
    <row r="139" spans="1:28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5"/>
      <c r="AB139" s="5"/>
    </row>
    <row r="140" spans="1:28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5"/>
      <c r="AB140" s="5"/>
    </row>
    <row r="141" spans="1:28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5"/>
      <c r="AB141" s="5"/>
    </row>
    <row r="142" spans="1:28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5"/>
      <c r="AB142" s="5"/>
    </row>
    <row r="143" spans="1:28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5"/>
      <c r="AB143" s="5"/>
    </row>
    <row r="144" spans="1:28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5"/>
      <c r="AB144" s="5"/>
    </row>
    <row r="145" spans="1:28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5"/>
      <c r="AB145" s="5"/>
    </row>
    <row r="146" spans="1:28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5"/>
      <c r="AB146" s="5"/>
    </row>
    <row r="147" spans="1:28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5"/>
      <c r="AB147" s="5"/>
    </row>
    <row r="148" spans="1:28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5"/>
      <c r="AB148" s="5"/>
    </row>
    <row r="149" spans="1:28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5"/>
      <c r="AB149" s="5"/>
    </row>
    <row r="150" spans="1:28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5"/>
      <c r="AB150" s="5"/>
    </row>
    <row r="151" spans="1:28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5"/>
      <c r="AB151" s="5"/>
    </row>
    <row r="152" spans="1:28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5"/>
      <c r="AB152" s="5"/>
    </row>
    <row r="153" spans="1:28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5"/>
      <c r="AB153" s="5"/>
    </row>
    <row r="154" spans="1:28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5"/>
      <c r="AB154" s="5"/>
    </row>
    <row r="155" spans="1:28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5"/>
      <c r="AB155" s="5"/>
    </row>
    <row r="156" spans="1:28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5"/>
      <c r="AB156" s="5"/>
    </row>
    <row r="157" spans="1:28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5"/>
      <c r="AB157" s="5"/>
    </row>
    <row r="158" spans="1:28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5"/>
      <c r="AB158" s="5"/>
    </row>
    <row r="159" spans="1:28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5"/>
      <c r="AB159" s="5"/>
    </row>
    <row r="160" spans="1:28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5"/>
      <c r="AB160" s="5"/>
    </row>
    <row r="161" spans="1:28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5"/>
      <c r="AB161" s="5"/>
    </row>
    <row r="162" spans="1:28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5"/>
      <c r="AB162" s="5"/>
    </row>
    <row r="163" spans="1:28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5"/>
      <c r="AB163" s="5"/>
    </row>
    <row r="164" spans="1:28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5"/>
      <c r="AB164" s="5"/>
    </row>
    <row r="165" spans="1:28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5"/>
      <c r="AB165" s="5"/>
    </row>
    <row r="166" spans="1:28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5"/>
      <c r="AB166" s="5"/>
    </row>
    <row r="167" spans="1:28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5"/>
      <c r="AB167" s="5"/>
    </row>
    <row r="168" spans="1:28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5"/>
      <c r="AB168" s="5"/>
    </row>
    <row r="169" spans="1:28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5"/>
      <c r="AB169" s="5"/>
    </row>
    <row r="170" spans="1:28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5"/>
      <c r="AB170" s="5"/>
    </row>
    <row r="171" spans="1:28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5"/>
      <c r="AB171" s="5"/>
    </row>
    <row r="172" spans="1:28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5"/>
      <c r="AB172" s="5"/>
    </row>
    <row r="173" spans="1:28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5"/>
      <c r="AB173" s="5"/>
    </row>
    <row r="174" spans="1:28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5"/>
      <c r="AB174" s="5"/>
    </row>
    <row r="175" spans="1:28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5"/>
      <c r="AB175" s="5"/>
    </row>
    <row r="176" spans="1:28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5"/>
      <c r="AB176" s="5"/>
    </row>
    <row r="177" spans="1:28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5"/>
      <c r="AB177" s="5"/>
    </row>
    <row r="178" spans="1:28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5"/>
      <c r="AB178" s="5"/>
    </row>
    <row r="179" spans="1:28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5"/>
      <c r="AB179" s="5"/>
    </row>
    <row r="180" spans="1:28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5"/>
      <c r="AB180" s="5"/>
    </row>
    <row r="181" spans="1:28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5"/>
      <c r="AB181" s="5"/>
    </row>
    <row r="182" spans="1:28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5"/>
      <c r="AB182" s="5"/>
    </row>
    <row r="183" spans="1:28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5"/>
      <c r="AB183" s="5"/>
    </row>
    <row r="184" spans="1:28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5"/>
      <c r="AB184" s="5"/>
    </row>
    <row r="185" spans="1:28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5"/>
      <c r="AB185" s="5"/>
    </row>
    <row r="186" spans="1:28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5"/>
      <c r="AB186" s="5"/>
    </row>
    <row r="187" spans="1:28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5"/>
      <c r="AB187" s="5"/>
    </row>
    <row r="188" spans="1:28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5"/>
      <c r="AB188" s="5"/>
    </row>
    <row r="189" spans="1:28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5"/>
      <c r="AB189" s="5"/>
    </row>
    <row r="190" spans="1:28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5"/>
      <c r="AB190" s="5"/>
    </row>
    <row r="191" spans="1:28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5"/>
      <c r="AB191" s="5"/>
    </row>
    <row r="192" spans="1:28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5"/>
      <c r="AB192" s="5"/>
    </row>
    <row r="193" spans="1:28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5"/>
      <c r="AB193" s="5"/>
    </row>
    <row r="194" spans="1:28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5"/>
      <c r="AB194" s="5"/>
    </row>
    <row r="195" spans="1:28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5"/>
      <c r="AB195" s="5"/>
    </row>
    <row r="196" spans="1:28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5"/>
      <c r="AB196" s="5"/>
    </row>
    <row r="197" spans="1:28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5"/>
      <c r="AB197" s="5"/>
    </row>
    <row r="198" spans="1:28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5"/>
      <c r="AB198" s="5"/>
    </row>
    <row r="199" spans="1:28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5"/>
      <c r="AB199" s="5"/>
    </row>
    <row r="200" spans="1:28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5"/>
      <c r="AB200" s="5"/>
    </row>
    <row r="201" spans="1:28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5"/>
      <c r="AB201" s="5"/>
    </row>
    <row r="202" spans="1:28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5"/>
      <c r="AB202" s="5"/>
    </row>
    <row r="203" spans="1:28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5"/>
      <c r="AB203" s="5"/>
    </row>
    <row r="204" spans="1:28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5"/>
      <c r="AB204" s="5"/>
    </row>
    <row r="205" spans="1:28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5"/>
      <c r="AB205" s="5"/>
    </row>
    <row r="206" spans="1:28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5"/>
      <c r="AB206" s="5"/>
    </row>
    <row r="207" spans="1:28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5"/>
      <c r="AB207" s="5"/>
    </row>
    <row r="208" spans="1:28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5"/>
      <c r="AB208" s="5"/>
    </row>
    <row r="209" spans="1:28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5"/>
      <c r="AB209" s="5"/>
    </row>
    <row r="210" spans="1:28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5"/>
      <c r="AB210" s="5"/>
    </row>
    <row r="211" spans="1:28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5"/>
      <c r="AB211" s="5"/>
    </row>
    <row r="212" spans="1:28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5"/>
      <c r="AB212" s="5"/>
    </row>
    <row r="213" spans="1:28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5"/>
      <c r="AB213" s="5"/>
    </row>
    <row r="214" spans="1:28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5"/>
      <c r="AB214" s="5"/>
    </row>
    <row r="215" spans="1:28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5"/>
      <c r="AB215" s="5"/>
    </row>
    <row r="216" spans="1:28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5"/>
      <c r="AB216" s="5"/>
    </row>
    <row r="217" spans="1:28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5"/>
      <c r="AB217" s="5"/>
    </row>
    <row r="218" spans="1:28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5"/>
      <c r="AB218" s="5"/>
    </row>
    <row r="219" spans="1:28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5"/>
      <c r="AB219" s="5"/>
    </row>
    <row r="220" spans="1:28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5"/>
      <c r="AB220" s="5"/>
    </row>
    <row r="221" spans="1:28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5"/>
      <c r="AB221" s="5"/>
    </row>
    <row r="222" spans="1:28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5"/>
      <c r="AB222" s="5"/>
    </row>
    <row r="223" spans="1:28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5"/>
      <c r="AB223" s="5"/>
    </row>
    <row r="224" spans="1:28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5"/>
      <c r="AB224" s="5"/>
    </row>
    <row r="225" spans="1:28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5"/>
      <c r="AB225" s="5"/>
    </row>
    <row r="226" spans="1:28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5"/>
      <c r="AB226" s="5"/>
    </row>
    <row r="227" spans="1:28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5"/>
      <c r="AB227" s="5"/>
    </row>
    <row r="228" spans="1:28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5"/>
      <c r="AB228" s="5"/>
    </row>
    <row r="229" spans="1:28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5"/>
      <c r="AB229" s="5"/>
    </row>
    <row r="230" spans="1:28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5"/>
    </row>
    <row r="231" spans="1:28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5"/>
      <c r="AB231" s="5"/>
    </row>
    <row r="232" spans="1:28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5"/>
      <c r="AB232" s="5"/>
    </row>
    <row r="233" spans="1:28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5"/>
    </row>
    <row r="234" spans="1:28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5"/>
      <c r="AB234" s="5"/>
    </row>
    <row r="235" spans="1:28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5"/>
      <c r="AB235" s="5"/>
    </row>
    <row r="236" spans="1:28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5"/>
      <c r="AB236" s="5"/>
    </row>
    <row r="237" spans="1:28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5"/>
    </row>
    <row r="238" spans="1:28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5"/>
      <c r="AB238" s="5"/>
    </row>
    <row r="239" spans="1:28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5"/>
      <c r="AB239" s="5"/>
    </row>
    <row r="240" spans="1:28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5"/>
      <c r="AB240" s="5"/>
    </row>
    <row r="241" spans="1:28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5"/>
      <c r="AB241" s="5"/>
    </row>
    <row r="242" spans="1:28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5"/>
      <c r="AB242" s="5"/>
    </row>
    <row r="243" spans="1:28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5"/>
      <c r="AB243" s="5"/>
    </row>
    <row r="244" spans="1:28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5"/>
    </row>
    <row r="245" spans="1:28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5"/>
      <c r="AB245" s="5"/>
    </row>
    <row r="246" spans="1:28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5"/>
      <c r="AB246" s="5"/>
    </row>
    <row r="247" spans="1:28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5"/>
      <c r="AB247" s="5"/>
    </row>
    <row r="248" spans="1:28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5"/>
      <c r="AB248" s="5"/>
    </row>
    <row r="249" spans="1:28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5"/>
      <c r="AB249" s="5"/>
    </row>
    <row r="250" spans="1:28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5"/>
      <c r="AB250" s="5"/>
    </row>
    <row r="251" spans="1:28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/>
      <c r="AB251" s="5"/>
    </row>
    <row r="252" spans="1:28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5"/>
      <c r="AB252" s="5"/>
    </row>
    <row r="253" spans="1:28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5"/>
      <c r="AB253" s="5"/>
    </row>
    <row r="254" spans="1:28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5"/>
      <c r="AB254" s="5"/>
    </row>
    <row r="255" spans="1:28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5"/>
      <c r="AB255" s="5"/>
    </row>
    <row r="256" spans="1:28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5"/>
      <c r="AB256" s="5"/>
    </row>
    <row r="257" spans="1:28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5"/>
      <c r="AB257" s="5"/>
    </row>
    <row r="258" spans="1:28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5"/>
      <c r="AB258" s="5"/>
    </row>
    <row r="259" spans="1:28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5"/>
      <c r="AB259" s="5"/>
    </row>
    <row r="260" spans="1:28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5"/>
      <c r="AB260" s="5"/>
    </row>
    <row r="261" spans="1:28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5"/>
      <c r="AB261" s="5"/>
    </row>
    <row r="262" spans="1:28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5"/>
      <c r="AB262" s="5"/>
    </row>
    <row r="263" spans="1:28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5"/>
      <c r="AB263" s="5"/>
    </row>
    <row r="264" spans="1:28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5"/>
      <c r="AB264" s="5"/>
    </row>
    <row r="265" spans="1:28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5"/>
      <c r="AB265" s="5"/>
    </row>
    <row r="266" spans="1:28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5"/>
      <c r="AB266" s="5"/>
    </row>
    <row r="267" spans="1:28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5"/>
      <c r="AB267" s="5"/>
    </row>
    <row r="268" spans="1:28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5"/>
      <c r="AB268" s="5"/>
    </row>
    <row r="269" spans="1:28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5"/>
      <c r="AB269" s="5"/>
    </row>
    <row r="270" spans="1:28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5"/>
      <c r="AB270" s="5"/>
    </row>
    <row r="271" spans="1:28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5"/>
      <c r="AB271" s="5"/>
    </row>
    <row r="272" spans="1:28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5"/>
      <c r="AB272" s="5"/>
    </row>
    <row r="273" spans="1:28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5"/>
      <c r="AB273" s="5"/>
    </row>
    <row r="274" spans="1:28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5"/>
      <c r="AB274" s="5"/>
    </row>
    <row r="275" spans="1:28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5"/>
      <c r="AB275" s="5"/>
    </row>
    <row r="276" spans="1:28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5"/>
      <c r="AB276" s="5"/>
    </row>
    <row r="277" spans="1:28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5"/>
      <c r="AB277" s="5"/>
    </row>
    <row r="278" spans="1:28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5"/>
      <c r="AB278" s="5"/>
    </row>
    <row r="279" spans="1:28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5"/>
      <c r="AB279" s="5"/>
    </row>
    <row r="280" spans="1:28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5"/>
      <c r="AB280" s="5"/>
    </row>
    <row r="281" spans="1:28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5"/>
      <c r="AB281" s="5"/>
    </row>
    <row r="282" spans="1:28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5"/>
      <c r="AB282" s="5"/>
    </row>
    <row r="283" spans="1:28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5"/>
      <c r="AB283" s="5"/>
    </row>
    <row r="284" spans="1:28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5"/>
      <c r="AB284" s="5"/>
    </row>
    <row r="285" spans="1:28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5"/>
      <c r="AB285" s="5"/>
    </row>
    <row r="286" spans="1:28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5"/>
      <c r="AB286" s="5"/>
    </row>
    <row r="287" spans="1:28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5"/>
      <c r="AB287" s="5"/>
    </row>
    <row r="288" spans="1:28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5"/>
      <c r="AB288" s="5"/>
    </row>
    <row r="289" spans="1:28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5"/>
      <c r="AB289" s="5"/>
    </row>
    <row r="290" spans="1:28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5"/>
      <c r="AB290" s="5"/>
    </row>
    <row r="291" spans="1:28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5"/>
      <c r="AB291" s="5"/>
    </row>
    <row r="292" spans="1:28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5"/>
      <c r="AB292" s="5"/>
    </row>
    <row r="293" spans="1:28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5"/>
      <c r="AB293" s="5"/>
    </row>
    <row r="294" spans="1:28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5"/>
      <c r="AB294" s="5"/>
    </row>
    <row r="295" spans="1:28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5"/>
      <c r="AB295" s="5"/>
    </row>
    <row r="296" spans="1:28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5"/>
      <c r="AB296" s="5"/>
    </row>
    <row r="297" spans="1:28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5"/>
      <c r="AB297" s="5"/>
    </row>
    <row r="298" spans="1:28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5"/>
      <c r="AB298" s="5"/>
    </row>
    <row r="299" spans="1:28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5"/>
      <c r="AB299" s="5"/>
    </row>
    <row r="300" spans="1:28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8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8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8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8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</sheetData>
  <mergeCells count="8">
    <mergeCell ref="AC1:BA1"/>
    <mergeCell ref="A1:Z1"/>
    <mergeCell ref="R2:U2"/>
    <mergeCell ref="W2:Z2"/>
    <mergeCell ref="B2:P2"/>
    <mergeCell ref="AC2:AQ2"/>
    <mergeCell ref="AS2:AV2"/>
    <mergeCell ref="AX2:BA2"/>
  </mergeCells>
  <pageMargins left="0.7" right="0.7" top="0.75" bottom="0.75" header="0" footer="0"/>
  <pageSetup orientation="landscape" r:id="rId1"/>
  <ignoredErrors>
    <ignoredError sqref="AE4:AE15 AF4:AF15 AG4:AG15 AL4:AL15 AT4:AT1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05FD-CD9C-4286-96FB-DD9B1839DD94}">
  <dimension ref="A1:AV1139"/>
  <sheetViews>
    <sheetView workbookViewId="0">
      <pane xSplit="1" topLeftCell="B1" activePane="topRight" state="frozen"/>
      <selection pane="topRight" sqref="A1:Y1"/>
    </sheetView>
  </sheetViews>
  <sheetFormatPr baseColWidth="10" defaultColWidth="12.5703125" defaultRowHeight="15" customHeight="1" x14ac:dyDescent="0.25"/>
  <cols>
    <col min="1" max="1" width="25.7109375" customWidth="1"/>
    <col min="2" max="48" width="7.7109375" customWidth="1"/>
  </cols>
  <sheetData>
    <row r="1" spans="1:48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</row>
    <row r="2" spans="1:48" ht="26.25" x14ac:dyDescent="0.4">
      <c r="A2" s="11"/>
      <c r="B2" s="14"/>
      <c r="C2" s="14"/>
      <c r="D2" s="14"/>
      <c r="E2" s="14"/>
      <c r="F2" s="14"/>
      <c r="G2" s="17" t="s">
        <v>37</v>
      </c>
      <c r="H2" s="17"/>
      <c r="I2" s="17"/>
      <c r="J2" s="17"/>
      <c r="K2" s="17"/>
      <c r="L2" s="17"/>
      <c r="M2" s="14"/>
      <c r="N2" s="17" t="s">
        <v>38</v>
      </c>
      <c r="O2" s="17"/>
      <c r="P2" s="17"/>
      <c r="Q2" s="17"/>
      <c r="R2" s="17"/>
      <c r="S2" s="17"/>
      <c r="T2" s="14"/>
      <c r="U2" s="17" t="s">
        <v>39</v>
      </c>
      <c r="V2" s="17"/>
      <c r="W2" s="14"/>
      <c r="X2" s="17" t="s">
        <v>40</v>
      </c>
      <c r="Y2" s="17"/>
      <c r="AB2" s="16"/>
      <c r="AC2" s="16"/>
      <c r="AD2" s="17" t="s">
        <v>37</v>
      </c>
      <c r="AE2" s="17"/>
      <c r="AF2" s="17"/>
      <c r="AG2" s="17"/>
      <c r="AH2" s="17"/>
      <c r="AI2" s="17"/>
      <c r="AJ2" s="12"/>
      <c r="AK2" s="17" t="s">
        <v>38</v>
      </c>
      <c r="AL2" s="17"/>
      <c r="AM2" s="17"/>
      <c r="AN2" s="17"/>
      <c r="AO2" s="17"/>
      <c r="AP2" s="17"/>
      <c r="AQ2" s="12"/>
      <c r="AR2" s="17" t="s">
        <v>39</v>
      </c>
      <c r="AS2" s="17"/>
      <c r="AT2" s="16"/>
      <c r="AU2" s="17" t="s">
        <v>40</v>
      </c>
      <c r="AV2" s="17"/>
    </row>
    <row r="3" spans="1:48" x14ac:dyDescent="0.25">
      <c r="A3" s="13" t="s">
        <v>1</v>
      </c>
      <c r="B3" s="13" t="s">
        <v>25</v>
      </c>
      <c r="C3" s="13" t="s">
        <v>26</v>
      </c>
      <c r="D3" s="13" t="s">
        <v>27</v>
      </c>
      <c r="E3" s="13" t="s">
        <v>28</v>
      </c>
      <c r="F3" s="13"/>
      <c r="G3" s="13" t="s">
        <v>29</v>
      </c>
      <c r="H3" s="13" t="s">
        <v>30</v>
      </c>
      <c r="I3" s="15" t="s">
        <v>31</v>
      </c>
      <c r="J3" s="15" t="s">
        <v>32</v>
      </c>
      <c r="K3" s="15" t="s">
        <v>33</v>
      </c>
      <c r="L3" s="13" t="s">
        <v>34</v>
      </c>
      <c r="M3" s="13"/>
      <c r="N3" s="13" t="s">
        <v>29</v>
      </c>
      <c r="O3" s="13" t="s">
        <v>30</v>
      </c>
      <c r="P3" s="15" t="s">
        <v>31</v>
      </c>
      <c r="Q3" s="15" t="s">
        <v>32</v>
      </c>
      <c r="R3" s="15" t="s">
        <v>33</v>
      </c>
      <c r="S3" s="13" t="s">
        <v>34</v>
      </c>
      <c r="T3" s="13"/>
      <c r="U3" s="13" t="s">
        <v>29</v>
      </c>
      <c r="V3" s="13" t="s">
        <v>34</v>
      </c>
      <c r="W3" s="13"/>
      <c r="X3" s="13" t="s">
        <v>35</v>
      </c>
      <c r="Y3" s="13" t="s">
        <v>36</v>
      </c>
      <c r="AB3" s="13" t="s">
        <v>27</v>
      </c>
      <c r="AC3" s="13"/>
      <c r="AD3" s="13" t="s">
        <v>29</v>
      </c>
      <c r="AE3" s="13" t="s">
        <v>30</v>
      </c>
      <c r="AF3" s="15" t="s">
        <v>31</v>
      </c>
      <c r="AG3" s="15" t="s">
        <v>32</v>
      </c>
      <c r="AH3" s="15" t="s">
        <v>33</v>
      </c>
      <c r="AI3" s="13" t="s">
        <v>34</v>
      </c>
      <c r="AJ3" s="13"/>
      <c r="AK3" s="13" t="s">
        <v>29</v>
      </c>
      <c r="AL3" s="13" t="s">
        <v>30</v>
      </c>
      <c r="AM3" s="15" t="s">
        <v>31</v>
      </c>
      <c r="AN3" s="15" t="s">
        <v>32</v>
      </c>
      <c r="AO3" s="15" t="s">
        <v>33</v>
      </c>
      <c r="AP3" s="13" t="s">
        <v>34</v>
      </c>
      <c r="AQ3" s="13"/>
      <c r="AR3" s="13" t="s">
        <v>29</v>
      </c>
      <c r="AS3" s="13" t="s">
        <v>34</v>
      </c>
      <c r="AT3" s="13"/>
      <c r="AU3" s="13" t="s">
        <v>35</v>
      </c>
      <c r="AV3" s="13" t="s">
        <v>36</v>
      </c>
    </row>
    <row r="4" spans="1:48" x14ac:dyDescent="0.25">
      <c r="A4" s="6" t="s">
        <v>51</v>
      </c>
      <c r="B4" s="7">
        <v>40</v>
      </c>
      <c r="C4" s="1">
        <v>8050</v>
      </c>
      <c r="D4" s="9">
        <v>0.42799999999999999</v>
      </c>
      <c r="E4" s="9">
        <v>12.5</v>
      </c>
      <c r="F4" s="9"/>
      <c r="G4" s="9">
        <v>0.72099999999999997</v>
      </c>
      <c r="H4" s="9">
        <v>0.223</v>
      </c>
      <c r="I4" s="9">
        <v>0.247</v>
      </c>
      <c r="J4" s="9">
        <v>0.15</v>
      </c>
      <c r="K4" s="9">
        <v>0.1</v>
      </c>
      <c r="L4" s="9">
        <v>0.27900000000000003</v>
      </c>
      <c r="M4" s="9"/>
      <c r="N4" s="9">
        <v>0.46400000000000002</v>
      </c>
      <c r="O4" s="9">
        <v>0.626</v>
      </c>
      <c r="P4" s="9">
        <v>0.38800000000000001</v>
      </c>
      <c r="Q4" s="9">
        <v>0.41</v>
      </c>
      <c r="R4" s="9">
        <v>0.37</v>
      </c>
      <c r="S4" s="9">
        <v>0.33600000000000002</v>
      </c>
      <c r="T4" s="9"/>
      <c r="U4" s="9">
        <v>0.56100000000000005</v>
      </c>
      <c r="V4" s="9">
        <v>0.88700000000000001</v>
      </c>
      <c r="W4" s="9"/>
      <c r="X4" s="10">
        <v>0.16600000000000001</v>
      </c>
      <c r="Y4" s="10">
        <v>0.24399999999999999</v>
      </c>
      <c r="Z4" s="5"/>
      <c r="AA4" s="5"/>
      <c r="AB4" s="5">
        <f t="shared" ref="AB4:AB18" si="0">RANK(D4,D$4:D$18,0)</f>
        <v>9</v>
      </c>
      <c r="AC4" s="5"/>
      <c r="AD4" s="5">
        <f t="shared" ref="AD4:AD18" si="1">RANK(G4,G$4:G$18,0)</f>
        <v>1</v>
      </c>
      <c r="AE4" s="5">
        <f t="shared" ref="AE4:AE18" si="2">RANK(H4,H$4:H$18,0)</f>
        <v>7</v>
      </c>
      <c r="AF4" s="5">
        <f t="shared" ref="AF4:AF18" si="3">RANK(I4,I$4:I$18,0)</f>
        <v>6</v>
      </c>
      <c r="AG4" s="5">
        <f t="shared" ref="AG4:AG18" si="4">RANK(J4,J$4:J$18,0)</f>
        <v>1</v>
      </c>
      <c r="AH4" s="5">
        <f t="shared" ref="AH4:AH18" si="5">RANK(K4,K$4:K$18,0)</f>
        <v>5</v>
      </c>
      <c r="AI4" s="5">
        <f t="shared" ref="AI4:AI18" si="6">RANK(L4,L$4:L$18,0)</f>
        <v>12</v>
      </c>
      <c r="AJ4" s="5"/>
      <c r="AK4" s="5">
        <f t="shared" ref="AK4:AK18" si="7">RANK(N4,N$4:N$18,0)</f>
        <v>10</v>
      </c>
      <c r="AL4" s="5">
        <f t="shared" ref="AL4:AL18" si="8">RANK(O4,O$4:O$18,0)</f>
        <v>10</v>
      </c>
      <c r="AM4" s="5">
        <f t="shared" ref="AM4:AM18" si="9">RANK(P4,P$4:P$18,0)</f>
        <v>10</v>
      </c>
      <c r="AN4" s="5">
        <f t="shared" ref="AN4:AN18" si="10">RANK(Q4,Q$4:Q$18,0)</f>
        <v>4</v>
      </c>
      <c r="AO4" s="5">
        <f t="shared" ref="AO4:AO18" si="11">RANK(R4,R$4:R$18,0)</f>
        <v>4</v>
      </c>
      <c r="AP4" s="5">
        <f t="shared" ref="AP4:AP18" si="12">RANK(S4,S$4:S$18,0)</f>
        <v>7</v>
      </c>
      <c r="AQ4" s="5"/>
      <c r="AR4" s="5">
        <f t="shared" ref="AR4:AR18" si="13">RANK(U4,U$4:U$18,0)</f>
        <v>9</v>
      </c>
      <c r="AS4" s="5">
        <f t="shared" ref="AS4:AS18" si="14">RANK(V4,V$4:V$18,0)</f>
        <v>7</v>
      </c>
      <c r="AT4" s="5"/>
      <c r="AU4" s="5">
        <f t="shared" ref="AU4:AU18" si="15">RANK(X4,X$4:X$18,0)</f>
        <v>8</v>
      </c>
      <c r="AV4" s="5">
        <f t="shared" ref="AV4:AV18" si="16">RANK(Y4,Y$4:Y$18,0)</f>
        <v>12</v>
      </c>
    </row>
    <row r="5" spans="1:48" x14ac:dyDescent="0.25">
      <c r="A5" s="6" t="s">
        <v>52</v>
      </c>
      <c r="B5" s="7">
        <v>40</v>
      </c>
      <c r="C5" s="1">
        <v>8050</v>
      </c>
      <c r="D5" s="9">
        <v>0.442</v>
      </c>
      <c r="E5" s="9">
        <v>13.6</v>
      </c>
      <c r="F5" s="9"/>
      <c r="G5" s="9">
        <v>0.68100000000000005</v>
      </c>
      <c r="H5" s="9">
        <v>0.23300000000000001</v>
      </c>
      <c r="I5" s="9">
        <v>0.17899999999999999</v>
      </c>
      <c r="J5" s="9">
        <v>0.129</v>
      </c>
      <c r="K5" s="9">
        <v>0.14000000000000001</v>
      </c>
      <c r="L5" s="9">
        <v>0.31900000000000001</v>
      </c>
      <c r="M5" s="9"/>
      <c r="N5" s="9">
        <v>0.47399999999999998</v>
      </c>
      <c r="O5" s="9">
        <v>0.626</v>
      </c>
      <c r="P5" s="9">
        <v>0.433</v>
      </c>
      <c r="Q5" s="9">
        <v>0.36899999999999999</v>
      </c>
      <c r="R5" s="9">
        <v>0.373</v>
      </c>
      <c r="S5" s="9">
        <v>0.372</v>
      </c>
      <c r="T5" s="9"/>
      <c r="U5" s="9">
        <v>0.58099999999999996</v>
      </c>
      <c r="V5" s="9">
        <v>0.89700000000000002</v>
      </c>
      <c r="W5" s="9"/>
      <c r="X5" s="10">
        <v>0.184</v>
      </c>
      <c r="Y5" s="10">
        <v>0.46</v>
      </c>
      <c r="Z5" s="5"/>
      <c r="AA5" s="5"/>
      <c r="AB5" s="5">
        <f t="shared" si="0"/>
        <v>6</v>
      </c>
      <c r="AC5" s="5"/>
      <c r="AD5" s="5">
        <f t="shared" si="1"/>
        <v>7</v>
      </c>
      <c r="AE5" s="5">
        <f t="shared" si="2"/>
        <v>3</v>
      </c>
      <c r="AF5" s="5">
        <f t="shared" si="3"/>
        <v>12</v>
      </c>
      <c r="AG5" s="5">
        <f t="shared" si="4"/>
        <v>4</v>
      </c>
      <c r="AH5" s="5">
        <f t="shared" si="5"/>
        <v>1</v>
      </c>
      <c r="AI5" s="5">
        <f t="shared" si="6"/>
        <v>6</v>
      </c>
      <c r="AJ5" s="5"/>
      <c r="AK5" s="5">
        <f t="shared" si="7"/>
        <v>9</v>
      </c>
      <c r="AL5" s="5">
        <f t="shared" si="8"/>
        <v>10</v>
      </c>
      <c r="AM5" s="5">
        <f t="shared" si="9"/>
        <v>6</v>
      </c>
      <c r="AN5" s="5">
        <f t="shared" si="10"/>
        <v>9</v>
      </c>
      <c r="AO5" s="5">
        <f t="shared" si="11"/>
        <v>3</v>
      </c>
      <c r="AP5" s="5">
        <f t="shared" si="12"/>
        <v>2</v>
      </c>
      <c r="AQ5" s="5"/>
      <c r="AR5" s="5">
        <f t="shared" si="13"/>
        <v>7</v>
      </c>
      <c r="AS5" s="5">
        <f t="shared" si="14"/>
        <v>3</v>
      </c>
      <c r="AT5" s="5"/>
      <c r="AU5" s="5">
        <f t="shared" si="15"/>
        <v>6</v>
      </c>
      <c r="AV5" s="5">
        <f t="shared" si="16"/>
        <v>1</v>
      </c>
    </row>
    <row r="6" spans="1:48" x14ac:dyDescent="0.25">
      <c r="A6" s="6" t="s">
        <v>48</v>
      </c>
      <c r="B6" s="7">
        <v>40</v>
      </c>
      <c r="C6" s="1">
        <v>8075</v>
      </c>
      <c r="D6" s="9">
        <v>0.44500000000000001</v>
      </c>
      <c r="E6" s="9">
        <v>12.2</v>
      </c>
      <c r="F6" s="9"/>
      <c r="G6" s="9">
        <v>0.70599999999999996</v>
      </c>
      <c r="H6" s="9">
        <v>0.26</v>
      </c>
      <c r="I6" s="9">
        <v>0.25600000000000001</v>
      </c>
      <c r="J6" s="9">
        <v>0.105</v>
      </c>
      <c r="K6" s="9">
        <v>8.4000000000000005E-2</v>
      </c>
      <c r="L6" s="9">
        <v>0.29399999999999998</v>
      </c>
      <c r="M6" s="9"/>
      <c r="N6" s="9">
        <v>0.48099999999999998</v>
      </c>
      <c r="O6" s="9">
        <v>0.63800000000000001</v>
      </c>
      <c r="P6" s="9">
        <v>0.42499999999999999</v>
      </c>
      <c r="Q6" s="9">
        <v>0.35399999999999998</v>
      </c>
      <c r="R6" s="9">
        <v>0.32</v>
      </c>
      <c r="S6" s="9">
        <v>0.36</v>
      </c>
      <c r="T6" s="9"/>
      <c r="U6" s="9">
        <v>0.61899999999999999</v>
      </c>
      <c r="V6" s="9">
        <v>0.89500000000000002</v>
      </c>
      <c r="W6" s="9"/>
      <c r="X6" s="10">
        <v>0.21099999999999999</v>
      </c>
      <c r="Y6" s="10">
        <v>0.39900000000000002</v>
      </c>
      <c r="Z6" s="5"/>
      <c r="AA6" s="5"/>
      <c r="AB6" s="5">
        <f t="shared" si="0"/>
        <v>3</v>
      </c>
      <c r="AC6" s="5"/>
      <c r="AD6" s="5">
        <f t="shared" si="1"/>
        <v>5</v>
      </c>
      <c r="AE6" s="5">
        <f t="shared" si="2"/>
        <v>2</v>
      </c>
      <c r="AF6" s="5">
        <f t="shared" si="3"/>
        <v>5</v>
      </c>
      <c r="AG6" s="5">
        <f t="shared" si="4"/>
        <v>10</v>
      </c>
      <c r="AH6" s="5">
        <f t="shared" si="5"/>
        <v>9</v>
      </c>
      <c r="AI6" s="5">
        <f t="shared" si="6"/>
        <v>8</v>
      </c>
      <c r="AJ6" s="5"/>
      <c r="AK6" s="5">
        <f t="shared" si="7"/>
        <v>7</v>
      </c>
      <c r="AL6" s="5">
        <f t="shared" si="8"/>
        <v>9</v>
      </c>
      <c r="AM6" s="5">
        <f t="shared" si="9"/>
        <v>7</v>
      </c>
      <c r="AN6" s="5">
        <f t="shared" si="10"/>
        <v>10</v>
      </c>
      <c r="AO6" s="5">
        <f t="shared" si="11"/>
        <v>11</v>
      </c>
      <c r="AP6" s="5">
        <f t="shared" si="12"/>
        <v>4</v>
      </c>
      <c r="AQ6" s="5"/>
      <c r="AR6" s="5">
        <f t="shared" si="13"/>
        <v>2</v>
      </c>
      <c r="AS6" s="5">
        <f t="shared" si="14"/>
        <v>4</v>
      </c>
      <c r="AT6" s="5"/>
      <c r="AU6" s="5">
        <f t="shared" si="15"/>
        <v>4</v>
      </c>
      <c r="AV6" s="5">
        <f t="shared" si="16"/>
        <v>4</v>
      </c>
    </row>
    <row r="7" spans="1:48" x14ac:dyDescent="0.25">
      <c r="A7" s="6" t="s">
        <v>49</v>
      </c>
      <c r="B7" s="7">
        <v>40</v>
      </c>
      <c r="C7" s="1">
        <v>8025</v>
      </c>
      <c r="D7" s="9">
        <v>0.443</v>
      </c>
      <c r="E7" s="9">
        <v>12.4</v>
      </c>
      <c r="F7" s="9"/>
      <c r="G7" s="9">
        <v>0.70799999999999996</v>
      </c>
      <c r="H7" s="9">
        <v>0.23100000000000001</v>
      </c>
      <c r="I7" s="9">
        <v>0.26500000000000001</v>
      </c>
      <c r="J7" s="9">
        <v>0.124</v>
      </c>
      <c r="K7" s="9">
        <v>8.8999999999999996E-2</v>
      </c>
      <c r="L7" s="9">
        <v>0.29199999999999998</v>
      </c>
      <c r="M7" s="9"/>
      <c r="N7" s="9">
        <v>0.49399999999999999</v>
      </c>
      <c r="O7" s="9">
        <v>0.69299999999999995</v>
      </c>
      <c r="P7" s="9">
        <v>0.41199999999999998</v>
      </c>
      <c r="Q7" s="9">
        <v>0.39900000000000002</v>
      </c>
      <c r="R7" s="9">
        <v>0.35499999999999998</v>
      </c>
      <c r="S7" s="9">
        <v>0.317</v>
      </c>
      <c r="T7" s="9"/>
      <c r="U7" s="9">
        <v>0.58499999999999996</v>
      </c>
      <c r="V7" s="9">
        <v>0.78900000000000003</v>
      </c>
      <c r="W7" s="9"/>
      <c r="X7" s="10">
        <v>0.127</v>
      </c>
      <c r="Y7" s="10">
        <v>0.37</v>
      </c>
      <c r="Z7" s="5"/>
      <c r="AA7" s="5"/>
      <c r="AB7" s="5">
        <f t="shared" si="0"/>
        <v>5</v>
      </c>
      <c r="AC7" s="5"/>
      <c r="AD7" s="5">
        <f t="shared" si="1"/>
        <v>3</v>
      </c>
      <c r="AE7" s="5">
        <f t="shared" si="2"/>
        <v>4</v>
      </c>
      <c r="AF7" s="5">
        <f t="shared" si="3"/>
        <v>3</v>
      </c>
      <c r="AG7" s="5">
        <f t="shared" si="4"/>
        <v>6</v>
      </c>
      <c r="AH7" s="5">
        <f t="shared" si="5"/>
        <v>7</v>
      </c>
      <c r="AI7" s="5">
        <f t="shared" si="6"/>
        <v>9</v>
      </c>
      <c r="AJ7" s="5"/>
      <c r="AK7" s="5">
        <f t="shared" si="7"/>
        <v>4</v>
      </c>
      <c r="AL7" s="5">
        <f t="shared" si="8"/>
        <v>2</v>
      </c>
      <c r="AM7" s="5">
        <f t="shared" si="9"/>
        <v>9</v>
      </c>
      <c r="AN7" s="5">
        <f t="shared" si="10"/>
        <v>5</v>
      </c>
      <c r="AO7" s="5">
        <f t="shared" si="11"/>
        <v>6</v>
      </c>
      <c r="AP7" s="5">
        <f t="shared" si="12"/>
        <v>12</v>
      </c>
      <c r="AQ7" s="5"/>
      <c r="AR7" s="5">
        <f t="shared" si="13"/>
        <v>6</v>
      </c>
      <c r="AS7" s="5">
        <f t="shared" si="14"/>
        <v>12</v>
      </c>
      <c r="AT7" s="5"/>
      <c r="AU7" s="5">
        <f t="shared" si="15"/>
        <v>12</v>
      </c>
      <c r="AV7" s="5">
        <f t="shared" si="16"/>
        <v>9</v>
      </c>
    </row>
    <row r="8" spans="1:48" x14ac:dyDescent="0.25">
      <c r="A8" s="6" t="s">
        <v>43</v>
      </c>
      <c r="B8" s="7">
        <v>40</v>
      </c>
      <c r="C8" s="1">
        <v>8075</v>
      </c>
      <c r="D8" s="9">
        <v>0.442</v>
      </c>
      <c r="E8" s="9">
        <v>12.8</v>
      </c>
      <c r="F8" s="9"/>
      <c r="G8" s="9">
        <v>0.71</v>
      </c>
      <c r="H8" s="9">
        <v>0.27300000000000002</v>
      </c>
      <c r="I8" s="9">
        <v>0.214</v>
      </c>
      <c r="J8" s="9">
        <v>0.105</v>
      </c>
      <c r="K8" s="9">
        <v>0.11799999999999999</v>
      </c>
      <c r="L8" s="9">
        <v>0.28999999999999998</v>
      </c>
      <c r="M8" s="9"/>
      <c r="N8" s="9">
        <v>0.48399999999999999</v>
      </c>
      <c r="O8" s="9">
        <v>0.59799999999999998</v>
      </c>
      <c r="P8" s="9">
        <v>0.45300000000000001</v>
      </c>
      <c r="Q8" s="9">
        <v>0.39900000000000002</v>
      </c>
      <c r="R8" s="9">
        <v>0.35099999999999998</v>
      </c>
      <c r="S8" s="9">
        <v>0.34</v>
      </c>
      <c r="T8" s="9"/>
      <c r="U8" s="9">
        <v>0.52500000000000002</v>
      </c>
      <c r="V8" s="9">
        <v>0.84799999999999998</v>
      </c>
      <c r="W8" s="9"/>
      <c r="X8" s="10">
        <v>0.19600000000000001</v>
      </c>
      <c r="Y8" s="10">
        <v>0.34200000000000003</v>
      </c>
      <c r="Z8" s="5"/>
      <c r="AA8" s="5"/>
      <c r="AB8" s="5">
        <f t="shared" si="0"/>
        <v>6</v>
      </c>
      <c r="AC8" s="5"/>
      <c r="AD8" s="5">
        <f t="shared" si="1"/>
        <v>2</v>
      </c>
      <c r="AE8" s="5">
        <f t="shared" si="2"/>
        <v>1</v>
      </c>
      <c r="AF8" s="5">
        <f t="shared" si="3"/>
        <v>10</v>
      </c>
      <c r="AG8" s="5">
        <f t="shared" si="4"/>
        <v>10</v>
      </c>
      <c r="AH8" s="5">
        <f t="shared" si="5"/>
        <v>2</v>
      </c>
      <c r="AI8" s="5">
        <f t="shared" si="6"/>
        <v>11</v>
      </c>
      <c r="AJ8" s="5"/>
      <c r="AK8" s="5">
        <f t="shared" si="7"/>
        <v>5</v>
      </c>
      <c r="AL8" s="5">
        <f t="shared" si="8"/>
        <v>12</v>
      </c>
      <c r="AM8" s="5">
        <f t="shared" si="9"/>
        <v>2</v>
      </c>
      <c r="AN8" s="5">
        <f t="shared" si="10"/>
        <v>5</v>
      </c>
      <c r="AO8" s="5">
        <f t="shared" si="11"/>
        <v>7</v>
      </c>
      <c r="AP8" s="5">
        <f t="shared" si="12"/>
        <v>6</v>
      </c>
      <c r="AQ8" s="5"/>
      <c r="AR8" s="5">
        <f t="shared" si="13"/>
        <v>12</v>
      </c>
      <c r="AS8" s="5">
        <f t="shared" si="14"/>
        <v>9</v>
      </c>
      <c r="AT8" s="5"/>
      <c r="AU8" s="5">
        <f t="shared" si="15"/>
        <v>5</v>
      </c>
      <c r="AV8" s="5">
        <f t="shared" si="16"/>
        <v>11</v>
      </c>
    </row>
    <row r="9" spans="1:48" x14ac:dyDescent="0.25">
      <c r="A9" s="6" t="s">
        <v>42</v>
      </c>
      <c r="B9" s="7">
        <v>40</v>
      </c>
      <c r="C9" s="1">
        <v>8025</v>
      </c>
      <c r="D9" s="9">
        <v>0.42499999999999999</v>
      </c>
      <c r="E9" s="9">
        <v>12.3</v>
      </c>
      <c r="F9" s="9"/>
      <c r="G9" s="9">
        <v>0.70799999999999996</v>
      </c>
      <c r="H9" s="9">
        <v>0.23100000000000001</v>
      </c>
      <c r="I9" s="9">
        <v>0.27600000000000002</v>
      </c>
      <c r="J9" s="9">
        <v>0.11899999999999999</v>
      </c>
      <c r="K9" s="9">
        <v>8.2000000000000003E-2</v>
      </c>
      <c r="L9" s="9">
        <v>0.29199999999999998</v>
      </c>
      <c r="M9" s="9"/>
      <c r="N9" s="9">
        <v>0.46300000000000002</v>
      </c>
      <c r="O9" s="9">
        <v>0.67100000000000004</v>
      </c>
      <c r="P9" s="9">
        <v>0.38500000000000001</v>
      </c>
      <c r="Q9" s="9">
        <v>0.33300000000000002</v>
      </c>
      <c r="R9" s="9">
        <v>0.32900000000000001</v>
      </c>
      <c r="S9" s="9">
        <v>0.33300000000000002</v>
      </c>
      <c r="T9" s="9"/>
      <c r="U9" s="9">
        <v>0.60299999999999998</v>
      </c>
      <c r="V9" s="9">
        <v>0.89200000000000002</v>
      </c>
      <c r="W9" s="9"/>
      <c r="X9" s="10">
        <v>0.16500000000000001</v>
      </c>
      <c r="Y9" s="10">
        <v>0.41899999999999998</v>
      </c>
      <c r="Z9" s="5"/>
      <c r="AA9" s="5"/>
      <c r="AB9" s="5">
        <f t="shared" si="0"/>
        <v>11</v>
      </c>
      <c r="AC9" s="5"/>
      <c r="AD9" s="5">
        <f t="shared" si="1"/>
        <v>3</v>
      </c>
      <c r="AE9" s="5">
        <f t="shared" si="2"/>
        <v>4</v>
      </c>
      <c r="AF9" s="5">
        <f t="shared" si="3"/>
        <v>2</v>
      </c>
      <c r="AG9" s="5">
        <f t="shared" si="4"/>
        <v>7</v>
      </c>
      <c r="AH9" s="5">
        <f t="shared" si="5"/>
        <v>10</v>
      </c>
      <c r="AI9" s="5">
        <f t="shared" si="6"/>
        <v>9</v>
      </c>
      <c r="AJ9" s="5"/>
      <c r="AK9" s="5">
        <f t="shared" si="7"/>
        <v>11</v>
      </c>
      <c r="AL9" s="5">
        <f t="shared" si="8"/>
        <v>6</v>
      </c>
      <c r="AM9" s="5">
        <f t="shared" si="9"/>
        <v>11</v>
      </c>
      <c r="AN9" s="5">
        <f t="shared" si="10"/>
        <v>11</v>
      </c>
      <c r="AO9" s="5">
        <f t="shared" si="11"/>
        <v>10</v>
      </c>
      <c r="AP9" s="5">
        <f t="shared" si="12"/>
        <v>9</v>
      </c>
      <c r="AQ9" s="5"/>
      <c r="AR9" s="5">
        <f t="shared" si="13"/>
        <v>3</v>
      </c>
      <c r="AS9" s="5">
        <f t="shared" si="14"/>
        <v>6</v>
      </c>
      <c r="AT9" s="5"/>
      <c r="AU9" s="5">
        <f t="shared" si="15"/>
        <v>9</v>
      </c>
      <c r="AV9" s="5">
        <f t="shared" si="16"/>
        <v>2</v>
      </c>
    </row>
    <row r="10" spans="1:48" x14ac:dyDescent="0.25">
      <c r="A10" s="6" t="s">
        <v>46</v>
      </c>
      <c r="B10" s="7">
        <v>40</v>
      </c>
      <c r="C10" s="1">
        <v>8000</v>
      </c>
      <c r="D10" s="9">
        <v>0.48599999999999999</v>
      </c>
      <c r="E10" s="9">
        <v>13.9</v>
      </c>
      <c r="F10" s="9"/>
      <c r="G10" s="9">
        <v>0.64</v>
      </c>
      <c r="H10" s="9">
        <v>0.128</v>
      </c>
      <c r="I10" s="9">
        <v>0.311</v>
      </c>
      <c r="J10" s="9">
        <v>0.11899999999999999</v>
      </c>
      <c r="K10" s="9">
        <v>8.2000000000000003E-2</v>
      </c>
      <c r="L10" s="9">
        <v>0.36</v>
      </c>
      <c r="M10" s="9"/>
      <c r="N10" s="9">
        <v>0.54900000000000004</v>
      </c>
      <c r="O10" s="9">
        <v>0.69199999999999995</v>
      </c>
      <c r="P10" s="9">
        <v>0.54900000000000004</v>
      </c>
      <c r="Q10" s="9">
        <v>0.46400000000000002</v>
      </c>
      <c r="R10" s="9">
        <v>0.45400000000000001</v>
      </c>
      <c r="S10" s="9">
        <v>0.372</v>
      </c>
      <c r="T10" s="9"/>
      <c r="U10" s="9">
        <v>0.57799999999999996</v>
      </c>
      <c r="V10" s="9">
        <v>0.82499999999999996</v>
      </c>
      <c r="W10" s="9"/>
      <c r="X10" s="10">
        <v>0.247</v>
      </c>
      <c r="Y10" s="10">
        <v>0.374</v>
      </c>
      <c r="Z10" s="5"/>
      <c r="AA10" s="5"/>
      <c r="AB10" s="5">
        <f t="shared" si="0"/>
        <v>1</v>
      </c>
      <c r="AC10" s="5"/>
      <c r="AD10" s="5">
        <f t="shared" si="1"/>
        <v>11</v>
      </c>
      <c r="AE10" s="5">
        <f t="shared" si="2"/>
        <v>12</v>
      </c>
      <c r="AF10" s="5">
        <f t="shared" si="3"/>
        <v>1</v>
      </c>
      <c r="AG10" s="5">
        <f t="shared" si="4"/>
        <v>7</v>
      </c>
      <c r="AH10" s="5">
        <f t="shared" si="5"/>
        <v>10</v>
      </c>
      <c r="AI10" s="5">
        <f t="shared" si="6"/>
        <v>2</v>
      </c>
      <c r="AJ10" s="5"/>
      <c r="AK10" s="5">
        <f t="shared" si="7"/>
        <v>1</v>
      </c>
      <c r="AL10" s="5">
        <f t="shared" si="8"/>
        <v>3</v>
      </c>
      <c r="AM10" s="5">
        <f t="shared" si="9"/>
        <v>1</v>
      </c>
      <c r="AN10" s="5">
        <f t="shared" si="10"/>
        <v>1</v>
      </c>
      <c r="AO10" s="5">
        <f t="shared" si="11"/>
        <v>1</v>
      </c>
      <c r="AP10" s="5">
        <f t="shared" si="12"/>
        <v>2</v>
      </c>
      <c r="AQ10" s="5"/>
      <c r="AR10" s="5">
        <f t="shared" si="13"/>
        <v>8</v>
      </c>
      <c r="AS10" s="5">
        <f t="shared" si="14"/>
        <v>10</v>
      </c>
      <c r="AT10" s="5"/>
      <c r="AU10" s="5">
        <f t="shared" si="15"/>
        <v>1</v>
      </c>
      <c r="AV10" s="5">
        <f t="shared" si="16"/>
        <v>7</v>
      </c>
    </row>
    <row r="11" spans="1:48" x14ac:dyDescent="0.25">
      <c r="A11" s="6" t="s">
        <v>53</v>
      </c>
      <c r="B11" s="7">
        <v>40</v>
      </c>
      <c r="C11" s="1">
        <v>8050</v>
      </c>
      <c r="D11" s="9">
        <v>0.435</v>
      </c>
      <c r="E11" s="9">
        <v>13.1</v>
      </c>
      <c r="F11" s="9"/>
      <c r="G11" s="9">
        <v>0.69199999999999995</v>
      </c>
      <c r="H11" s="9">
        <v>0.216</v>
      </c>
      <c r="I11" s="9">
        <v>0.23499999999999999</v>
      </c>
      <c r="J11" s="9">
        <v>0.13100000000000001</v>
      </c>
      <c r="K11" s="9">
        <v>0.11</v>
      </c>
      <c r="L11" s="9">
        <v>0.308</v>
      </c>
      <c r="M11" s="9"/>
      <c r="N11" s="9">
        <v>0.48399999999999999</v>
      </c>
      <c r="O11" s="9">
        <v>0.65600000000000003</v>
      </c>
      <c r="P11" s="9">
        <v>0.435</v>
      </c>
      <c r="Q11" s="9">
        <v>0.371</v>
      </c>
      <c r="R11" s="9">
        <v>0.38400000000000001</v>
      </c>
      <c r="S11" s="9">
        <v>0.32500000000000001</v>
      </c>
      <c r="T11" s="9"/>
      <c r="U11" s="9">
        <v>0.59399999999999997</v>
      </c>
      <c r="V11" s="9">
        <v>0.88500000000000001</v>
      </c>
      <c r="W11" s="9"/>
      <c r="X11" s="10">
        <v>0.151</v>
      </c>
      <c r="Y11" s="10">
        <v>0.373</v>
      </c>
      <c r="Z11" s="5"/>
      <c r="AA11" s="5"/>
      <c r="AB11" s="5">
        <f t="shared" si="0"/>
        <v>8</v>
      </c>
      <c r="AC11" s="5"/>
      <c r="AD11" s="5">
        <f t="shared" si="1"/>
        <v>6</v>
      </c>
      <c r="AE11" s="5">
        <f t="shared" si="2"/>
        <v>8</v>
      </c>
      <c r="AF11" s="5">
        <f t="shared" si="3"/>
        <v>9</v>
      </c>
      <c r="AG11" s="5">
        <f t="shared" si="4"/>
        <v>3</v>
      </c>
      <c r="AH11" s="5">
        <f t="shared" si="5"/>
        <v>3</v>
      </c>
      <c r="AI11" s="5">
        <f t="shared" si="6"/>
        <v>7</v>
      </c>
      <c r="AJ11" s="5"/>
      <c r="AK11" s="5">
        <f t="shared" si="7"/>
        <v>5</v>
      </c>
      <c r="AL11" s="5">
        <f t="shared" si="8"/>
        <v>8</v>
      </c>
      <c r="AM11" s="5">
        <f t="shared" si="9"/>
        <v>5</v>
      </c>
      <c r="AN11" s="5">
        <f t="shared" si="10"/>
        <v>8</v>
      </c>
      <c r="AO11" s="5">
        <f t="shared" si="11"/>
        <v>2</v>
      </c>
      <c r="AP11" s="5">
        <f t="shared" si="12"/>
        <v>11</v>
      </c>
      <c r="AQ11" s="5"/>
      <c r="AR11" s="5">
        <f t="shared" si="13"/>
        <v>5</v>
      </c>
      <c r="AS11" s="5">
        <f t="shared" si="14"/>
        <v>8</v>
      </c>
      <c r="AT11" s="5"/>
      <c r="AU11" s="5">
        <f t="shared" si="15"/>
        <v>11</v>
      </c>
      <c r="AV11" s="5">
        <f t="shared" si="16"/>
        <v>8</v>
      </c>
    </row>
    <row r="12" spans="1:48" x14ac:dyDescent="0.25">
      <c r="A12" s="6" t="s">
        <v>47</v>
      </c>
      <c r="B12" s="7">
        <v>40</v>
      </c>
      <c r="C12" s="1">
        <v>8075</v>
      </c>
      <c r="D12" s="9">
        <v>0.46</v>
      </c>
      <c r="E12" s="9">
        <v>14.5</v>
      </c>
      <c r="F12" s="9"/>
      <c r="G12" s="9">
        <v>0.57599999999999996</v>
      </c>
      <c r="H12" s="9">
        <v>0.22500000000000001</v>
      </c>
      <c r="I12" s="9">
        <v>0.187</v>
      </c>
      <c r="J12" s="9">
        <v>0.10199999999999999</v>
      </c>
      <c r="K12" s="9">
        <v>6.2E-2</v>
      </c>
      <c r="L12" s="9">
        <v>0.42399999999999999</v>
      </c>
      <c r="M12" s="9"/>
      <c r="N12" s="9">
        <v>0.52300000000000002</v>
      </c>
      <c r="O12" s="9">
        <v>0.70299999999999996</v>
      </c>
      <c r="P12" s="9">
        <v>0.44800000000000001</v>
      </c>
      <c r="Q12" s="9">
        <v>0.375</v>
      </c>
      <c r="R12" s="9">
        <v>0.33500000000000002</v>
      </c>
      <c r="S12" s="9">
        <v>0.374</v>
      </c>
      <c r="T12" s="9"/>
      <c r="U12" s="9">
        <v>0.66700000000000004</v>
      </c>
      <c r="V12" s="9">
        <v>0.90800000000000003</v>
      </c>
      <c r="W12" s="9"/>
      <c r="X12" s="10">
        <v>0.24399999999999999</v>
      </c>
      <c r="Y12" s="10">
        <v>0.38300000000000001</v>
      </c>
      <c r="Z12" s="5"/>
      <c r="AA12" s="5"/>
      <c r="AB12" s="5">
        <f t="shared" si="0"/>
        <v>2</v>
      </c>
      <c r="AC12" s="5"/>
      <c r="AD12" s="5">
        <f t="shared" si="1"/>
        <v>12</v>
      </c>
      <c r="AE12" s="5">
        <f t="shared" si="2"/>
        <v>6</v>
      </c>
      <c r="AF12" s="5">
        <f t="shared" si="3"/>
        <v>11</v>
      </c>
      <c r="AG12" s="5">
        <f t="shared" si="4"/>
        <v>12</v>
      </c>
      <c r="AH12" s="5">
        <f t="shared" si="5"/>
        <v>12</v>
      </c>
      <c r="AI12" s="5">
        <f t="shared" si="6"/>
        <v>1</v>
      </c>
      <c r="AJ12" s="5"/>
      <c r="AK12" s="5">
        <f t="shared" si="7"/>
        <v>2</v>
      </c>
      <c r="AL12" s="5">
        <f t="shared" si="8"/>
        <v>1</v>
      </c>
      <c r="AM12" s="5">
        <f t="shared" si="9"/>
        <v>4</v>
      </c>
      <c r="AN12" s="5">
        <f t="shared" si="10"/>
        <v>7</v>
      </c>
      <c r="AO12" s="5">
        <f t="shared" si="11"/>
        <v>9</v>
      </c>
      <c r="AP12" s="5">
        <f t="shared" si="12"/>
        <v>1</v>
      </c>
      <c r="AQ12" s="5"/>
      <c r="AR12" s="5">
        <f t="shared" si="13"/>
        <v>1</v>
      </c>
      <c r="AS12" s="5">
        <f t="shared" si="14"/>
        <v>2</v>
      </c>
      <c r="AT12" s="5"/>
      <c r="AU12" s="5">
        <f t="shared" si="15"/>
        <v>2</v>
      </c>
      <c r="AV12" s="5">
        <f t="shared" si="16"/>
        <v>6</v>
      </c>
    </row>
    <row r="13" spans="1:48" x14ac:dyDescent="0.25">
      <c r="A13" s="6" t="s">
        <v>45</v>
      </c>
      <c r="B13" s="7">
        <v>40</v>
      </c>
      <c r="C13" s="1">
        <v>8025</v>
      </c>
      <c r="D13" s="9">
        <v>0.44400000000000001</v>
      </c>
      <c r="E13" s="9">
        <v>13.5</v>
      </c>
      <c r="F13" s="9"/>
      <c r="G13" s="9">
        <v>0.67700000000000005</v>
      </c>
      <c r="H13" s="9">
        <v>0.189</v>
      </c>
      <c r="I13" s="9">
        <v>0.26</v>
      </c>
      <c r="J13" s="9">
        <v>0.14000000000000001</v>
      </c>
      <c r="K13" s="9">
        <v>8.7999999999999995E-2</v>
      </c>
      <c r="L13" s="9">
        <v>0.32300000000000001</v>
      </c>
      <c r="M13" s="9"/>
      <c r="N13" s="9">
        <v>0.499</v>
      </c>
      <c r="O13" s="9">
        <v>0.68300000000000005</v>
      </c>
      <c r="P13" s="9">
        <v>0.44900000000000001</v>
      </c>
      <c r="Q13" s="9">
        <v>0.437</v>
      </c>
      <c r="R13" s="9">
        <v>0.35699999999999998</v>
      </c>
      <c r="S13" s="9">
        <v>0.32800000000000001</v>
      </c>
      <c r="T13" s="9"/>
      <c r="U13" s="9">
        <v>0.60099999999999998</v>
      </c>
      <c r="V13" s="9">
        <v>0.89300000000000002</v>
      </c>
      <c r="W13" s="9"/>
      <c r="X13" s="10">
        <v>0.21199999999999999</v>
      </c>
      <c r="Y13" s="10">
        <v>0.34899999999999998</v>
      </c>
      <c r="Z13" s="5"/>
      <c r="AA13" s="5"/>
      <c r="AB13" s="5">
        <f t="shared" si="0"/>
        <v>4</v>
      </c>
      <c r="AC13" s="5"/>
      <c r="AD13" s="5">
        <f t="shared" si="1"/>
        <v>8</v>
      </c>
      <c r="AE13" s="5">
        <f t="shared" si="2"/>
        <v>10</v>
      </c>
      <c r="AF13" s="5">
        <f t="shared" si="3"/>
        <v>4</v>
      </c>
      <c r="AG13" s="5">
        <f t="shared" si="4"/>
        <v>2</v>
      </c>
      <c r="AH13" s="5">
        <f t="shared" si="5"/>
        <v>8</v>
      </c>
      <c r="AI13" s="5">
        <f t="shared" si="6"/>
        <v>5</v>
      </c>
      <c r="AJ13" s="5"/>
      <c r="AK13" s="5">
        <f t="shared" si="7"/>
        <v>3</v>
      </c>
      <c r="AL13" s="5">
        <f t="shared" si="8"/>
        <v>4</v>
      </c>
      <c r="AM13" s="5">
        <f t="shared" si="9"/>
        <v>3</v>
      </c>
      <c r="AN13" s="5">
        <f t="shared" si="10"/>
        <v>2</v>
      </c>
      <c r="AO13" s="5">
        <f t="shared" si="11"/>
        <v>5</v>
      </c>
      <c r="AP13" s="5">
        <f t="shared" si="12"/>
        <v>10</v>
      </c>
      <c r="AQ13" s="5"/>
      <c r="AR13" s="5">
        <f t="shared" si="13"/>
        <v>4</v>
      </c>
      <c r="AS13" s="5">
        <f t="shared" si="14"/>
        <v>5</v>
      </c>
      <c r="AT13" s="5"/>
      <c r="AU13" s="5">
        <f t="shared" si="15"/>
        <v>3</v>
      </c>
      <c r="AV13" s="5">
        <f t="shared" si="16"/>
        <v>10</v>
      </c>
    </row>
    <row r="14" spans="1:48" x14ac:dyDescent="0.25">
      <c r="A14" s="6" t="s">
        <v>44</v>
      </c>
      <c r="B14" s="7">
        <v>40</v>
      </c>
      <c r="C14" s="1">
        <v>8025</v>
      </c>
      <c r="D14" s="9">
        <v>0.41</v>
      </c>
      <c r="E14" s="9">
        <v>13.9</v>
      </c>
      <c r="F14" s="9"/>
      <c r="G14" s="9">
        <v>0.64400000000000002</v>
      </c>
      <c r="H14" s="9">
        <v>0.19500000000000001</v>
      </c>
      <c r="I14" s="9">
        <v>0.24199999999999999</v>
      </c>
      <c r="J14" s="9">
        <v>0.108</v>
      </c>
      <c r="K14" s="9">
        <v>9.8000000000000004E-2</v>
      </c>
      <c r="L14" s="9">
        <v>0.35599999999999998</v>
      </c>
      <c r="M14" s="9"/>
      <c r="N14" s="9">
        <v>0.442</v>
      </c>
      <c r="O14" s="9">
        <v>0.65800000000000003</v>
      </c>
      <c r="P14" s="9">
        <v>0.38100000000000001</v>
      </c>
      <c r="Q14" s="9">
        <v>0.32</v>
      </c>
      <c r="R14" s="9">
        <v>0.3</v>
      </c>
      <c r="S14" s="9">
        <v>0.35099999999999998</v>
      </c>
      <c r="T14" s="9"/>
      <c r="U14" s="9">
        <v>0.55900000000000005</v>
      </c>
      <c r="V14" s="9">
        <v>0.80300000000000005</v>
      </c>
      <c r="W14" s="9"/>
      <c r="X14" s="10">
        <v>0.159</v>
      </c>
      <c r="Y14" s="10">
        <v>0.40300000000000002</v>
      </c>
      <c r="Z14" s="5"/>
      <c r="AA14" s="5"/>
      <c r="AB14" s="5">
        <f t="shared" si="0"/>
        <v>12</v>
      </c>
      <c r="AC14" s="5"/>
      <c r="AD14" s="5">
        <f t="shared" si="1"/>
        <v>10</v>
      </c>
      <c r="AE14" s="5">
        <f t="shared" si="2"/>
        <v>9</v>
      </c>
      <c r="AF14" s="5">
        <f t="shared" si="3"/>
        <v>7</v>
      </c>
      <c r="AG14" s="5">
        <f t="shared" si="4"/>
        <v>9</v>
      </c>
      <c r="AH14" s="5">
        <f t="shared" si="5"/>
        <v>6</v>
      </c>
      <c r="AI14" s="5">
        <f t="shared" si="6"/>
        <v>3</v>
      </c>
      <c r="AJ14" s="5"/>
      <c r="AK14" s="5">
        <f t="shared" si="7"/>
        <v>12</v>
      </c>
      <c r="AL14" s="5">
        <f t="shared" si="8"/>
        <v>7</v>
      </c>
      <c r="AM14" s="5">
        <f t="shared" si="9"/>
        <v>12</v>
      </c>
      <c r="AN14" s="5">
        <f t="shared" si="10"/>
        <v>12</v>
      </c>
      <c r="AO14" s="5">
        <f t="shared" si="11"/>
        <v>12</v>
      </c>
      <c r="AP14" s="5">
        <f t="shared" si="12"/>
        <v>5</v>
      </c>
      <c r="AQ14" s="5"/>
      <c r="AR14" s="5">
        <f t="shared" si="13"/>
        <v>11</v>
      </c>
      <c r="AS14" s="5">
        <f t="shared" si="14"/>
        <v>11</v>
      </c>
      <c r="AT14" s="5"/>
      <c r="AU14" s="5">
        <f t="shared" si="15"/>
        <v>10</v>
      </c>
      <c r="AV14" s="5">
        <f t="shared" si="16"/>
        <v>3</v>
      </c>
    </row>
    <row r="15" spans="1:48" x14ac:dyDescent="0.25">
      <c r="A15" s="6" t="s">
        <v>50</v>
      </c>
      <c r="B15" s="7">
        <v>40</v>
      </c>
      <c r="C15" s="1">
        <v>8025</v>
      </c>
      <c r="D15" s="9">
        <v>0.42799999999999999</v>
      </c>
      <c r="E15" s="9">
        <v>14</v>
      </c>
      <c r="F15" s="9"/>
      <c r="G15" s="9">
        <v>0.65800000000000003</v>
      </c>
      <c r="H15" s="9">
        <v>0.17699999999999999</v>
      </c>
      <c r="I15" s="9">
        <v>0.24199999999999999</v>
      </c>
      <c r="J15" s="9">
        <v>0.129</v>
      </c>
      <c r="K15" s="9">
        <v>0.11</v>
      </c>
      <c r="L15" s="9">
        <v>0.34200000000000003</v>
      </c>
      <c r="M15" s="9"/>
      <c r="N15" s="9">
        <v>0.47599999999999998</v>
      </c>
      <c r="O15" s="9">
        <v>0.67500000000000004</v>
      </c>
      <c r="P15" s="9">
        <v>0.42499999999999999</v>
      </c>
      <c r="Q15" s="9">
        <v>0.42099999999999999</v>
      </c>
      <c r="R15" s="9">
        <v>0.33600000000000002</v>
      </c>
      <c r="S15" s="9">
        <v>0.33600000000000002</v>
      </c>
      <c r="T15" s="9"/>
      <c r="U15" s="9">
        <v>0.56100000000000005</v>
      </c>
      <c r="V15" s="9">
        <v>0.94499999999999995</v>
      </c>
      <c r="W15" s="9"/>
      <c r="X15" s="10">
        <v>0.18</v>
      </c>
      <c r="Y15" s="10">
        <v>0.39800000000000002</v>
      </c>
      <c r="Z15" s="5"/>
      <c r="AA15" s="5"/>
      <c r="AB15" s="5">
        <f t="shared" si="0"/>
        <v>9</v>
      </c>
      <c r="AC15" s="5"/>
      <c r="AD15" s="5">
        <f t="shared" si="1"/>
        <v>9</v>
      </c>
      <c r="AE15" s="5">
        <f t="shared" si="2"/>
        <v>11</v>
      </c>
      <c r="AF15" s="5">
        <f t="shared" si="3"/>
        <v>7</v>
      </c>
      <c r="AG15" s="5">
        <f t="shared" si="4"/>
        <v>4</v>
      </c>
      <c r="AH15" s="5">
        <f t="shared" si="5"/>
        <v>3</v>
      </c>
      <c r="AI15" s="5">
        <f t="shared" si="6"/>
        <v>4</v>
      </c>
      <c r="AJ15" s="5"/>
      <c r="AK15" s="5">
        <f t="shared" si="7"/>
        <v>8</v>
      </c>
      <c r="AL15" s="5">
        <f t="shared" si="8"/>
        <v>5</v>
      </c>
      <c r="AM15" s="5">
        <f t="shared" si="9"/>
        <v>7</v>
      </c>
      <c r="AN15" s="5">
        <f t="shared" si="10"/>
        <v>3</v>
      </c>
      <c r="AO15" s="5">
        <f t="shared" si="11"/>
        <v>8</v>
      </c>
      <c r="AP15" s="5">
        <f t="shared" si="12"/>
        <v>7</v>
      </c>
      <c r="AQ15" s="5"/>
      <c r="AR15" s="5">
        <f t="shared" si="13"/>
        <v>9</v>
      </c>
      <c r="AS15" s="5">
        <f t="shared" si="14"/>
        <v>1</v>
      </c>
      <c r="AT15" s="5"/>
      <c r="AU15" s="5">
        <f t="shared" si="15"/>
        <v>7</v>
      </c>
      <c r="AV15" s="5">
        <f t="shared" si="16"/>
        <v>5</v>
      </c>
    </row>
    <row r="16" spans="1:48" x14ac:dyDescent="0.25">
      <c r="A16" s="6"/>
      <c r="B16" s="7"/>
      <c r="C16" s="1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25">
      <c r="A17" s="6"/>
      <c r="B17" s="7"/>
      <c r="C17" s="1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6"/>
      <c r="B18" s="7"/>
      <c r="C18" s="1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5"/>
      <c r="Y19" s="5"/>
      <c r="Z19" s="5"/>
      <c r="AA19" s="5"/>
    </row>
    <row r="20" spans="1:48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</row>
    <row r="21" spans="1:48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5"/>
      <c r="Y21" s="5"/>
      <c r="Z21" s="5"/>
      <c r="AA21" s="5"/>
    </row>
    <row r="22" spans="1:48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5"/>
      <c r="Y22" s="5"/>
      <c r="Z22" s="5"/>
      <c r="AA22" s="5"/>
    </row>
    <row r="23" spans="1:48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5"/>
      <c r="Y23" s="5"/>
      <c r="Z23" s="5"/>
      <c r="AA23" s="5"/>
    </row>
    <row r="24" spans="1:48" ht="15.75" customHeight="1" x14ac:dyDescent="0.25">
      <c r="A24" s="6" t="s">
        <v>41</v>
      </c>
      <c r="B24" s="9">
        <f>AVERAGE(B4:B18)</f>
        <v>40</v>
      </c>
      <c r="C24" s="9">
        <f t="shared" ref="C24:Y24" si="17">AVERAGE(C4:C18)</f>
        <v>8041.666666666667</v>
      </c>
      <c r="D24" s="9">
        <f t="shared" si="17"/>
        <v>0.44066666666666671</v>
      </c>
      <c r="E24" s="9">
        <f t="shared" si="17"/>
        <v>13.225000000000001</v>
      </c>
      <c r="F24" s="9"/>
      <c r="G24" s="9">
        <f t="shared" si="17"/>
        <v>0.67674999999999985</v>
      </c>
      <c r="H24" s="9">
        <f t="shared" si="17"/>
        <v>0.21508333333333332</v>
      </c>
      <c r="I24" s="9">
        <f t="shared" si="17"/>
        <v>0.24283333333333332</v>
      </c>
      <c r="J24" s="9">
        <f t="shared" si="17"/>
        <v>0.12175000000000002</v>
      </c>
      <c r="K24" s="9">
        <f t="shared" si="17"/>
        <v>9.6916666666666665E-2</v>
      </c>
      <c r="L24" s="9">
        <f t="shared" si="17"/>
        <v>0.32324999999999998</v>
      </c>
      <c r="M24" s="9"/>
      <c r="N24" s="9">
        <f t="shared" si="17"/>
        <v>0.48608333333333337</v>
      </c>
      <c r="O24" s="9">
        <f t="shared" si="17"/>
        <v>0.65991666666666671</v>
      </c>
      <c r="P24" s="9">
        <f t="shared" si="17"/>
        <v>0.43191666666666667</v>
      </c>
      <c r="Q24" s="9">
        <f t="shared" si="17"/>
        <v>0.38766666666666666</v>
      </c>
      <c r="R24" s="9">
        <f t="shared" si="17"/>
        <v>0.35533333333333333</v>
      </c>
      <c r="S24" s="9">
        <f t="shared" si="17"/>
        <v>0.34533333333333333</v>
      </c>
      <c r="T24" s="9"/>
      <c r="U24" s="9">
        <f t="shared" si="17"/>
        <v>0.58616666666666672</v>
      </c>
      <c r="V24" s="9">
        <f t="shared" si="17"/>
        <v>0.87225000000000019</v>
      </c>
      <c r="W24" s="9"/>
      <c r="X24" s="9">
        <f t="shared" si="17"/>
        <v>0.18683333333333332</v>
      </c>
      <c r="Y24" s="9">
        <f t="shared" si="17"/>
        <v>0.37616666666666659</v>
      </c>
      <c r="Z24" s="5"/>
      <c r="AA24" s="5"/>
    </row>
    <row r="25" spans="1:48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5"/>
      <c r="Y25" s="5"/>
      <c r="Z25" s="5"/>
      <c r="AA25" s="5"/>
    </row>
    <row r="26" spans="1:48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5"/>
      <c r="Y26" s="5"/>
      <c r="Z26" s="5"/>
      <c r="AA26" s="5"/>
    </row>
    <row r="27" spans="1:48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5"/>
      <c r="Y27" s="5"/>
      <c r="Z27" s="5"/>
      <c r="AA27" s="5"/>
    </row>
    <row r="28" spans="1:48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5"/>
      <c r="Y28" s="5"/>
      <c r="Z28" s="5"/>
      <c r="AA28" s="5"/>
    </row>
    <row r="29" spans="1:48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5"/>
      <c r="Y29" s="5"/>
      <c r="Z29" s="5"/>
      <c r="AA29" s="5"/>
    </row>
    <row r="30" spans="1:48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5"/>
      <c r="Y30" s="5"/>
      <c r="Z30" s="5"/>
      <c r="AA30" s="5"/>
    </row>
    <row r="31" spans="1:48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5"/>
      <c r="Y31" s="5"/>
      <c r="Z31" s="5"/>
      <c r="AA31" s="5"/>
    </row>
    <row r="32" spans="1:48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5"/>
      <c r="Y32" s="5"/>
      <c r="Z32" s="5"/>
      <c r="AA32" s="5"/>
    </row>
    <row r="33" spans="1:27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5"/>
      <c r="Y33" s="5"/>
      <c r="Z33" s="5"/>
      <c r="AA33" s="5"/>
    </row>
    <row r="34" spans="1:27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5"/>
      <c r="Y34" s="5"/>
      <c r="Z34" s="5"/>
      <c r="AA34" s="5"/>
    </row>
    <row r="35" spans="1:27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5"/>
      <c r="Y35" s="5"/>
      <c r="Z35" s="5"/>
      <c r="AA35" s="5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5"/>
      <c r="Y36" s="5"/>
      <c r="Z36" s="5"/>
      <c r="AA36" s="5"/>
    </row>
    <row r="37" spans="1:27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5"/>
      <c r="Y37" s="5"/>
      <c r="Z37" s="5"/>
      <c r="AA37" s="5"/>
    </row>
    <row r="38" spans="1:27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5"/>
      <c r="Y38" s="5"/>
      <c r="Z38" s="5"/>
      <c r="AA38" s="5"/>
    </row>
    <row r="39" spans="1:27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5"/>
      <c r="Y39" s="5"/>
      <c r="Z39" s="5"/>
      <c r="AA39" s="5"/>
    </row>
    <row r="40" spans="1:27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5"/>
      <c r="Y40" s="5"/>
      <c r="Z40" s="5"/>
      <c r="AA40" s="5"/>
    </row>
    <row r="41" spans="1:27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5"/>
      <c r="Y41" s="5"/>
      <c r="Z41" s="5"/>
      <c r="AA41" s="5"/>
    </row>
    <row r="42" spans="1:27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5"/>
      <c r="Y42" s="5"/>
      <c r="Z42" s="5"/>
      <c r="AA42" s="5"/>
    </row>
    <row r="43" spans="1:27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5"/>
      <c r="Y43" s="5"/>
      <c r="Z43" s="5"/>
      <c r="AA43" s="5"/>
    </row>
    <row r="44" spans="1:27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5"/>
      <c r="Y44" s="5"/>
      <c r="Z44" s="5"/>
      <c r="AA44" s="5"/>
    </row>
    <row r="45" spans="1:27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5"/>
      <c r="Y45" s="5"/>
      <c r="Z45" s="5"/>
      <c r="AA45" s="5"/>
    </row>
    <row r="46" spans="1:27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5"/>
      <c r="Y46" s="5"/>
      <c r="Z46" s="5"/>
      <c r="AA46" s="5"/>
    </row>
    <row r="47" spans="1:27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5"/>
      <c r="Y47" s="5"/>
      <c r="Z47" s="5"/>
      <c r="AA47" s="5"/>
    </row>
    <row r="48" spans="1:27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5"/>
      <c r="Y48" s="5"/>
      <c r="Z48" s="5"/>
      <c r="AA48" s="5"/>
    </row>
    <row r="49" spans="1:27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5"/>
      <c r="Y49" s="5"/>
      <c r="Z49" s="5"/>
      <c r="AA49" s="5"/>
    </row>
    <row r="50" spans="1:27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5"/>
      <c r="Y50" s="5"/>
      <c r="Z50" s="5"/>
      <c r="AA50" s="5"/>
    </row>
    <row r="51" spans="1:27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5"/>
      <c r="Y51" s="5"/>
      <c r="Z51" s="5"/>
      <c r="AA51" s="5"/>
    </row>
    <row r="52" spans="1:27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5"/>
      <c r="Y52" s="5"/>
      <c r="Z52" s="5"/>
      <c r="AA52" s="5"/>
    </row>
    <row r="53" spans="1:27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5"/>
      <c r="Y53" s="5"/>
      <c r="Z53" s="5"/>
      <c r="AA53" s="5"/>
    </row>
    <row r="54" spans="1:27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5"/>
      <c r="Y54" s="5"/>
      <c r="Z54" s="5"/>
      <c r="AA54" s="5"/>
    </row>
    <row r="55" spans="1:27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5"/>
      <c r="Y55" s="5"/>
      <c r="Z55" s="5"/>
      <c r="AA55" s="5"/>
    </row>
    <row r="56" spans="1:27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5"/>
      <c r="Y56" s="5"/>
      <c r="Z56" s="5"/>
      <c r="AA56" s="5"/>
    </row>
    <row r="57" spans="1:27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"/>
      <c r="Y57" s="5"/>
      <c r="Z57" s="5"/>
      <c r="AA57" s="5"/>
    </row>
    <row r="58" spans="1:27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5"/>
      <c r="Y58" s="5"/>
      <c r="Z58" s="5"/>
      <c r="AA58" s="5"/>
    </row>
    <row r="59" spans="1:27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5"/>
      <c r="Y59" s="5"/>
      <c r="Z59" s="5"/>
      <c r="AA59" s="5"/>
    </row>
    <row r="60" spans="1:27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5"/>
      <c r="Y60" s="5"/>
      <c r="Z60" s="5"/>
      <c r="AA60" s="5"/>
    </row>
    <row r="61" spans="1:27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5"/>
      <c r="Y61" s="5"/>
      <c r="Z61" s="5"/>
      <c r="AA61" s="5"/>
    </row>
    <row r="62" spans="1:27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5"/>
      <c r="Y62" s="5"/>
      <c r="Z62" s="5"/>
      <c r="AA62" s="5"/>
    </row>
    <row r="63" spans="1:27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"/>
      <c r="Y63" s="5"/>
      <c r="Z63" s="5"/>
      <c r="AA63" s="5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5"/>
      <c r="Y64" s="5"/>
      <c r="Z64" s="5"/>
      <c r="AA64" s="5"/>
    </row>
    <row r="65" spans="1:27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5"/>
      <c r="Y65" s="5"/>
      <c r="Z65" s="5"/>
      <c r="AA65" s="5"/>
    </row>
    <row r="66" spans="1:27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"/>
      <c r="Y66" s="5"/>
      <c r="Z66" s="5"/>
      <c r="AA66" s="5"/>
    </row>
    <row r="67" spans="1:27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"/>
      <c r="Y67" s="5"/>
      <c r="Z67" s="5"/>
      <c r="AA67" s="5"/>
    </row>
    <row r="68" spans="1:27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5"/>
      <c r="Y68" s="5"/>
      <c r="Z68" s="5"/>
      <c r="AA68" s="5"/>
    </row>
    <row r="69" spans="1:27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"/>
      <c r="Y69" s="5"/>
      <c r="Z69" s="5"/>
      <c r="AA69" s="5"/>
    </row>
    <row r="70" spans="1:27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"/>
      <c r="Y70" s="5"/>
      <c r="Z70" s="5"/>
      <c r="AA70" s="5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5"/>
      <c r="Y71" s="5"/>
      <c r="Z71" s="5"/>
      <c r="AA71" s="5"/>
    </row>
    <row r="72" spans="1:27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5"/>
      <c r="Y72" s="5"/>
      <c r="Z72" s="5"/>
      <c r="AA72" s="5"/>
    </row>
    <row r="73" spans="1:27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"/>
      <c r="Y73" s="5"/>
      <c r="Z73" s="5"/>
      <c r="AA73" s="5"/>
    </row>
    <row r="74" spans="1:27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5"/>
      <c r="Y74" s="5"/>
      <c r="Z74" s="5"/>
      <c r="AA74" s="5"/>
    </row>
    <row r="75" spans="1:27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5"/>
      <c r="Y75" s="5"/>
      <c r="Z75" s="5"/>
      <c r="AA75" s="5"/>
    </row>
    <row r="76" spans="1:27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"/>
      <c r="Y76" s="5"/>
      <c r="Z76" s="5"/>
      <c r="AA76" s="5"/>
    </row>
    <row r="77" spans="1:27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5"/>
      <c r="Y77" s="5"/>
      <c r="Z77" s="5"/>
      <c r="AA77" s="5"/>
    </row>
    <row r="78" spans="1:27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5"/>
      <c r="Y78" s="5"/>
      <c r="Z78" s="5"/>
      <c r="AA78" s="5"/>
    </row>
    <row r="79" spans="1:27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5"/>
      <c r="Y79" s="5"/>
      <c r="Z79" s="5"/>
      <c r="AA79" s="5"/>
    </row>
    <row r="80" spans="1:27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5"/>
      <c r="Y80" s="5"/>
      <c r="Z80" s="5"/>
      <c r="AA80" s="5"/>
    </row>
    <row r="81" spans="1:27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5"/>
      <c r="Y81" s="5"/>
      <c r="Z81" s="5"/>
      <c r="AA81" s="5"/>
    </row>
    <row r="82" spans="1:27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5"/>
      <c r="Y82" s="5"/>
      <c r="Z82" s="5"/>
      <c r="AA82" s="5"/>
    </row>
    <row r="83" spans="1:27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5"/>
      <c r="Y83" s="5"/>
      <c r="Z83" s="5"/>
      <c r="AA83" s="5"/>
    </row>
    <row r="84" spans="1:27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5"/>
      <c r="Y84" s="5"/>
      <c r="Z84" s="5"/>
      <c r="AA84" s="5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5"/>
      <c r="Y85" s="5"/>
      <c r="Z85" s="5"/>
      <c r="AA85" s="5"/>
    </row>
    <row r="86" spans="1:27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5"/>
      <c r="Y86" s="5"/>
      <c r="Z86" s="5"/>
      <c r="AA86" s="5"/>
    </row>
    <row r="87" spans="1:27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5"/>
      <c r="Y87" s="5"/>
      <c r="Z87" s="5"/>
      <c r="AA87" s="5"/>
    </row>
    <row r="88" spans="1:27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5"/>
      <c r="Y88" s="5"/>
      <c r="Z88" s="5"/>
      <c r="AA88" s="5"/>
    </row>
    <row r="89" spans="1:27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5"/>
      <c r="Y89" s="5"/>
      <c r="Z89" s="5"/>
      <c r="AA89" s="5"/>
    </row>
    <row r="90" spans="1:27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5"/>
      <c r="Y90" s="5"/>
      <c r="Z90" s="5"/>
      <c r="AA90" s="5"/>
    </row>
    <row r="91" spans="1:27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5"/>
      <c r="Y91" s="5"/>
      <c r="Z91" s="5"/>
      <c r="AA91" s="5"/>
    </row>
    <row r="92" spans="1:27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5"/>
      <c r="Y92" s="5"/>
      <c r="Z92" s="5"/>
      <c r="AA92" s="5"/>
    </row>
    <row r="93" spans="1:27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5"/>
      <c r="Y93" s="5"/>
      <c r="Z93" s="5"/>
      <c r="AA93" s="5"/>
    </row>
    <row r="94" spans="1:27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5"/>
      <c r="Y94" s="5"/>
      <c r="Z94" s="5"/>
      <c r="AA94" s="5"/>
    </row>
    <row r="95" spans="1:27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5"/>
      <c r="Y95" s="5"/>
      <c r="Z95" s="5"/>
      <c r="AA95" s="5"/>
    </row>
    <row r="96" spans="1:27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5"/>
      <c r="Y96" s="5"/>
      <c r="Z96" s="5"/>
      <c r="AA96" s="5"/>
    </row>
    <row r="97" spans="1:27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5"/>
      <c r="Y97" s="5"/>
      <c r="Z97" s="5"/>
      <c r="AA97" s="5"/>
    </row>
    <row r="98" spans="1:27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5"/>
      <c r="Y98" s="5"/>
      <c r="Z98" s="5"/>
      <c r="AA98" s="5"/>
    </row>
    <row r="99" spans="1:27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5"/>
      <c r="Y99" s="5"/>
      <c r="Z99" s="5"/>
      <c r="AA99" s="5"/>
    </row>
    <row r="100" spans="1:27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5"/>
      <c r="Y100" s="5"/>
      <c r="Z100" s="5"/>
      <c r="AA100" s="5"/>
    </row>
    <row r="101" spans="1:27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5"/>
      <c r="Y101" s="5"/>
      <c r="Z101" s="5"/>
      <c r="AA101" s="5"/>
    </row>
    <row r="102" spans="1:27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5"/>
      <c r="Y102" s="5"/>
      <c r="Z102" s="5"/>
      <c r="AA102" s="5"/>
    </row>
    <row r="103" spans="1:27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5"/>
      <c r="Y103" s="5"/>
      <c r="Z103" s="5"/>
      <c r="AA103" s="5"/>
    </row>
    <row r="104" spans="1:27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"/>
      <c r="Y104" s="5"/>
      <c r="Z104" s="5"/>
      <c r="AA104" s="5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5"/>
      <c r="Y105" s="5"/>
      <c r="Z105" s="5"/>
      <c r="AA105" s="5"/>
    </row>
    <row r="106" spans="1:27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5"/>
      <c r="Y106" s="5"/>
      <c r="Z106" s="5"/>
      <c r="AA106" s="5"/>
    </row>
    <row r="107" spans="1:27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5"/>
      <c r="Y107" s="5"/>
      <c r="Z107" s="5"/>
      <c r="AA107" s="5"/>
    </row>
    <row r="108" spans="1:27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5"/>
      <c r="Y108" s="5"/>
      <c r="Z108" s="5"/>
      <c r="AA108" s="5"/>
    </row>
    <row r="109" spans="1:27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5"/>
      <c r="Y109" s="5"/>
      <c r="Z109" s="5"/>
      <c r="AA109" s="5"/>
    </row>
    <row r="110" spans="1:27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5"/>
      <c r="Y110" s="5"/>
      <c r="Z110" s="5"/>
      <c r="AA110" s="5"/>
    </row>
    <row r="111" spans="1:27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5"/>
      <c r="Y111" s="5"/>
      <c r="Z111" s="5"/>
      <c r="AA111" s="5"/>
    </row>
    <row r="112" spans="1:27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5"/>
      <c r="Y112" s="5"/>
      <c r="Z112" s="5"/>
      <c r="AA112" s="5"/>
    </row>
    <row r="113" spans="1:27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5"/>
      <c r="Y113" s="5"/>
      <c r="Z113" s="5"/>
      <c r="AA113" s="5"/>
    </row>
    <row r="114" spans="1:27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5"/>
      <c r="Y114" s="5"/>
      <c r="Z114" s="5"/>
      <c r="AA114" s="5"/>
    </row>
    <row r="115" spans="1:27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5"/>
      <c r="Y115" s="5"/>
      <c r="Z115" s="5"/>
      <c r="AA115" s="5"/>
    </row>
    <row r="116" spans="1:27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5"/>
      <c r="Y116" s="5"/>
      <c r="Z116" s="5"/>
      <c r="AA116" s="5"/>
    </row>
    <row r="117" spans="1:27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5"/>
      <c r="Y117" s="5"/>
      <c r="Z117" s="5"/>
      <c r="AA117" s="5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5"/>
      <c r="Y118" s="5"/>
      <c r="Z118" s="5"/>
      <c r="AA118" s="5"/>
    </row>
    <row r="119" spans="1:27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5"/>
      <c r="Y119" s="5"/>
      <c r="Z119" s="5"/>
      <c r="AA119" s="5"/>
    </row>
    <row r="120" spans="1:27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5"/>
      <c r="Y120" s="5"/>
      <c r="Z120" s="5"/>
      <c r="AA120" s="5"/>
    </row>
    <row r="121" spans="1:27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5"/>
      <c r="Y121" s="5"/>
      <c r="Z121" s="5"/>
      <c r="AA121" s="5"/>
    </row>
    <row r="122" spans="1:27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5"/>
      <c r="Y122" s="5"/>
      <c r="Z122" s="5"/>
      <c r="AA122" s="5"/>
    </row>
    <row r="123" spans="1:27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5"/>
      <c r="Y123" s="5"/>
      <c r="Z123" s="5"/>
      <c r="AA123" s="5"/>
    </row>
    <row r="124" spans="1:27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5"/>
      <c r="Y124" s="5"/>
      <c r="Z124" s="5"/>
      <c r="AA124" s="5"/>
    </row>
    <row r="125" spans="1:27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5"/>
      <c r="Y125" s="5"/>
      <c r="Z125" s="5"/>
      <c r="AA125" s="5"/>
    </row>
    <row r="126" spans="1:27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5"/>
      <c r="Y126" s="5"/>
      <c r="Z126" s="5"/>
      <c r="AA126" s="5"/>
    </row>
    <row r="127" spans="1:27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5"/>
      <c r="Y127" s="5"/>
      <c r="Z127" s="5"/>
      <c r="AA127" s="5"/>
    </row>
    <row r="128" spans="1:27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5"/>
      <c r="Y128" s="5"/>
      <c r="Z128" s="5"/>
      <c r="AA128" s="5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5"/>
      <c r="Y129" s="5"/>
      <c r="Z129" s="5"/>
      <c r="AA129" s="5"/>
    </row>
    <row r="130" spans="1:27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5"/>
      <c r="Y130" s="5"/>
      <c r="Z130" s="5"/>
      <c r="AA130" s="5"/>
    </row>
    <row r="131" spans="1:27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5"/>
      <c r="Y131" s="5"/>
      <c r="Z131" s="5"/>
      <c r="AA131" s="5"/>
    </row>
    <row r="132" spans="1:27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5"/>
      <c r="Y132" s="5"/>
      <c r="Z132" s="5"/>
      <c r="AA132" s="5"/>
    </row>
    <row r="133" spans="1:27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5"/>
      <c r="Y133" s="5"/>
      <c r="Z133" s="5"/>
      <c r="AA133" s="5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5"/>
      <c r="Y134" s="5"/>
      <c r="Z134" s="5"/>
      <c r="AA134" s="5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5"/>
      <c r="Y135" s="5"/>
      <c r="Z135" s="5"/>
      <c r="AA135" s="5"/>
    </row>
    <row r="136" spans="1:27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5"/>
      <c r="Y136" s="5"/>
      <c r="Z136" s="5"/>
      <c r="AA136" s="5"/>
    </row>
    <row r="137" spans="1:27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5"/>
      <c r="Y137" s="5"/>
      <c r="Z137" s="5"/>
      <c r="AA137" s="5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5"/>
      <c r="Y138" s="5"/>
      <c r="Z138" s="5"/>
      <c r="AA138" s="5"/>
    </row>
    <row r="139" spans="1:27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5"/>
      <c r="Y139" s="5"/>
      <c r="Z139" s="5"/>
      <c r="AA139" s="5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5"/>
      <c r="Y140" s="5"/>
      <c r="Z140" s="5"/>
      <c r="AA140" s="5"/>
    </row>
    <row r="141" spans="1:27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5"/>
      <c r="Y141" s="5"/>
      <c r="Z141" s="5"/>
      <c r="AA141" s="5"/>
    </row>
    <row r="142" spans="1:27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5"/>
      <c r="Y142" s="5"/>
      <c r="Z142" s="5"/>
      <c r="AA142" s="5"/>
    </row>
    <row r="143" spans="1:27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5"/>
      <c r="Y143" s="5"/>
      <c r="Z143" s="5"/>
      <c r="AA143" s="5"/>
    </row>
    <row r="144" spans="1:27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5"/>
      <c r="Y144" s="5"/>
      <c r="Z144" s="5"/>
      <c r="AA144" s="5"/>
    </row>
    <row r="145" spans="1:27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5"/>
      <c r="Y145" s="5"/>
      <c r="Z145" s="5"/>
      <c r="AA145" s="5"/>
    </row>
    <row r="146" spans="1:27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5"/>
      <c r="Y146" s="5"/>
      <c r="Z146" s="5"/>
      <c r="AA146" s="5"/>
    </row>
    <row r="147" spans="1:27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5"/>
      <c r="Y147" s="5"/>
      <c r="Z147" s="5"/>
      <c r="AA147" s="5"/>
    </row>
    <row r="148" spans="1:27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5"/>
      <c r="Y148" s="5"/>
      <c r="Z148" s="5"/>
      <c r="AA148" s="5"/>
    </row>
    <row r="149" spans="1:27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5"/>
      <c r="Y149" s="5"/>
      <c r="Z149" s="5"/>
      <c r="AA149" s="5"/>
    </row>
    <row r="150" spans="1:27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5"/>
      <c r="Y150" s="5"/>
      <c r="Z150" s="5"/>
      <c r="AA150" s="5"/>
    </row>
    <row r="151" spans="1:27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5"/>
      <c r="Y151" s="5"/>
      <c r="Z151" s="5"/>
      <c r="AA151" s="5"/>
    </row>
    <row r="152" spans="1:27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5"/>
      <c r="Y152" s="5"/>
      <c r="Z152" s="5"/>
      <c r="AA152" s="5"/>
    </row>
    <row r="153" spans="1:27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5"/>
      <c r="Y153" s="5"/>
      <c r="Z153" s="5"/>
      <c r="AA153" s="5"/>
    </row>
    <row r="154" spans="1:27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5"/>
      <c r="Y154" s="5"/>
      <c r="Z154" s="5"/>
      <c r="AA154" s="5"/>
    </row>
    <row r="155" spans="1:27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5"/>
      <c r="Y155" s="5"/>
      <c r="Z155" s="5"/>
      <c r="AA155" s="5"/>
    </row>
    <row r="156" spans="1:27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5"/>
      <c r="Y156" s="5"/>
      <c r="Z156" s="5"/>
      <c r="AA156" s="5"/>
    </row>
    <row r="157" spans="1:27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5"/>
      <c r="Y157" s="5"/>
      <c r="Z157" s="5"/>
      <c r="AA157" s="5"/>
    </row>
    <row r="158" spans="1:27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5"/>
      <c r="Y158" s="5"/>
      <c r="Z158" s="5"/>
      <c r="AA158" s="5"/>
    </row>
    <row r="159" spans="1:27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5"/>
      <c r="Y159" s="5"/>
      <c r="Z159" s="5"/>
      <c r="AA159" s="5"/>
    </row>
    <row r="160" spans="1:27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5"/>
      <c r="Y160" s="5"/>
      <c r="Z160" s="5"/>
      <c r="AA160" s="5"/>
    </row>
    <row r="161" spans="1:27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5"/>
      <c r="Y161" s="5"/>
      <c r="Z161" s="5"/>
      <c r="AA161" s="5"/>
    </row>
    <row r="162" spans="1:27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5"/>
      <c r="Y162" s="5"/>
      <c r="Z162" s="5"/>
      <c r="AA162" s="5"/>
    </row>
    <row r="163" spans="1:27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5"/>
      <c r="Y163" s="5"/>
      <c r="Z163" s="5"/>
      <c r="AA163" s="5"/>
    </row>
    <row r="164" spans="1:27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5"/>
      <c r="Y164" s="5"/>
      <c r="Z164" s="5"/>
      <c r="AA164" s="5"/>
    </row>
    <row r="165" spans="1:27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5"/>
      <c r="Y165" s="5"/>
      <c r="Z165" s="5"/>
      <c r="AA165" s="5"/>
    </row>
    <row r="166" spans="1:27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5"/>
      <c r="Y166" s="5"/>
      <c r="Z166" s="5"/>
      <c r="AA166" s="5"/>
    </row>
    <row r="167" spans="1:27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"/>
      <c r="Y167" s="5"/>
      <c r="Z167" s="5"/>
      <c r="AA167" s="5"/>
    </row>
    <row r="168" spans="1:27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5"/>
      <c r="Y168" s="5"/>
      <c r="Z168" s="5"/>
      <c r="AA168" s="5"/>
    </row>
    <row r="169" spans="1:27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5"/>
      <c r="Y169" s="5"/>
      <c r="Z169" s="5"/>
      <c r="AA169" s="5"/>
    </row>
    <row r="170" spans="1:27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5"/>
      <c r="Y170" s="5"/>
      <c r="Z170" s="5"/>
      <c r="AA170" s="5"/>
    </row>
    <row r="171" spans="1:27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5"/>
      <c r="Y171" s="5"/>
      <c r="Z171" s="5"/>
      <c r="AA171" s="5"/>
    </row>
    <row r="172" spans="1:27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5"/>
      <c r="Y172" s="5"/>
      <c r="Z172" s="5"/>
      <c r="AA172" s="5"/>
    </row>
    <row r="173" spans="1:27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5"/>
      <c r="Y173" s="5"/>
      <c r="Z173" s="5"/>
      <c r="AA173" s="5"/>
    </row>
    <row r="174" spans="1:27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5"/>
      <c r="Y174" s="5"/>
      <c r="Z174" s="5"/>
      <c r="AA174" s="5"/>
    </row>
    <row r="175" spans="1:27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5"/>
      <c r="Y175" s="5"/>
      <c r="Z175" s="5"/>
      <c r="AA175" s="5"/>
    </row>
    <row r="176" spans="1:27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5"/>
      <c r="Y176" s="5"/>
      <c r="Z176" s="5"/>
      <c r="AA176" s="5"/>
    </row>
    <row r="177" spans="1:27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5"/>
      <c r="Y177" s="5"/>
      <c r="Z177" s="5"/>
      <c r="AA177" s="5"/>
    </row>
    <row r="178" spans="1:27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5"/>
      <c r="Y178" s="5"/>
      <c r="Z178" s="5"/>
      <c r="AA178" s="5"/>
    </row>
    <row r="179" spans="1:27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5"/>
      <c r="Y179" s="5"/>
      <c r="Z179" s="5"/>
      <c r="AA179" s="5"/>
    </row>
    <row r="180" spans="1:27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5"/>
      <c r="Y180" s="5"/>
      <c r="Z180" s="5"/>
      <c r="AA180" s="5"/>
    </row>
    <row r="181" spans="1:27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5"/>
      <c r="Y181" s="5"/>
      <c r="Z181" s="5"/>
      <c r="AA181" s="5"/>
    </row>
    <row r="182" spans="1:27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5"/>
      <c r="Y182" s="5"/>
      <c r="Z182" s="5"/>
      <c r="AA182" s="5"/>
    </row>
    <row r="183" spans="1:27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5"/>
      <c r="Y183" s="5"/>
      <c r="Z183" s="5"/>
      <c r="AA183" s="5"/>
    </row>
    <row r="184" spans="1:27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5"/>
      <c r="Y184" s="5"/>
      <c r="Z184" s="5"/>
      <c r="AA184" s="5"/>
    </row>
    <row r="185" spans="1:27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5"/>
      <c r="Y185" s="5"/>
      <c r="Z185" s="5"/>
      <c r="AA185" s="5"/>
    </row>
    <row r="186" spans="1:27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5"/>
      <c r="Y186" s="5"/>
      <c r="Z186" s="5"/>
      <c r="AA186" s="5"/>
    </row>
    <row r="187" spans="1:27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5"/>
      <c r="Y187" s="5"/>
      <c r="Z187" s="5"/>
      <c r="AA187" s="5"/>
    </row>
    <row r="188" spans="1:27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5"/>
      <c r="Y188" s="5"/>
      <c r="Z188" s="5"/>
      <c r="AA188" s="5"/>
    </row>
    <row r="189" spans="1:27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5"/>
      <c r="Y189" s="5"/>
      <c r="Z189" s="5"/>
      <c r="AA189" s="5"/>
    </row>
    <row r="190" spans="1:27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5"/>
      <c r="Y190" s="5"/>
      <c r="Z190" s="5"/>
      <c r="AA190" s="5"/>
    </row>
    <row r="191" spans="1:27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5"/>
      <c r="Y191" s="5"/>
      <c r="Z191" s="5"/>
      <c r="AA191" s="5"/>
    </row>
    <row r="192" spans="1:27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5"/>
      <c r="Y192" s="5"/>
      <c r="Z192" s="5"/>
      <c r="AA192" s="5"/>
    </row>
    <row r="193" spans="1:27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5"/>
      <c r="Y193" s="5"/>
      <c r="Z193" s="5"/>
      <c r="AA193" s="5"/>
    </row>
    <row r="194" spans="1:27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5"/>
      <c r="Y194" s="5"/>
      <c r="Z194" s="5"/>
      <c r="AA194" s="5"/>
    </row>
    <row r="195" spans="1:27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5"/>
      <c r="Y195" s="5"/>
      <c r="Z195" s="5"/>
      <c r="AA195" s="5"/>
    </row>
    <row r="196" spans="1:27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5"/>
      <c r="Y196" s="5"/>
      <c r="Z196" s="5"/>
      <c r="AA196" s="5"/>
    </row>
    <row r="197" spans="1:27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5"/>
      <c r="Y197" s="5"/>
      <c r="Z197" s="5"/>
      <c r="AA197" s="5"/>
    </row>
    <row r="198" spans="1:27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5"/>
      <c r="Y198" s="5"/>
      <c r="Z198" s="5"/>
      <c r="AA198" s="5"/>
    </row>
    <row r="199" spans="1:27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5"/>
      <c r="Y199" s="5"/>
      <c r="Z199" s="5"/>
      <c r="AA199" s="5"/>
    </row>
    <row r="200" spans="1:27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5"/>
      <c r="Z200" s="5"/>
      <c r="AA200" s="5"/>
    </row>
    <row r="201" spans="1:27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5"/>
      <c r="Z201" s="5"/>
      <c r="AA201" s="5"/>
    </row>
    <row r="202" spans="1:27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5"/>
      <c r="Z202" s="5"/>
      <c r="AA202" s="5"/>
    </row>
    <row r="203" spans="1:27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5"/>
      <c r="Z203" s="5"/>
      <c r="AA203" s="5"/>
    </row>
    <row r="204" spans="1:27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5"/>
      <c r="Z204" s="5"/>
      <c r="AA204" s="5"/>
    </row>
    <row r="205" spans="1:27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5"/>
      <c r="Z205" s="5"/>
      <c r="AA205" s="5"/>
    </row>
    <row r="206" spans="1:27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5"/>
      <c r="Z206" s="5"/>
      <c r="AA206" s="5"/>
    </row>
    <row r="207" spans="1:27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5"/>
      <c r="Z207" s="5"/>
      <c r="AA207" s="5"/>
    </row>
    <row r="208" spans="1:27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5"/>
      <c r="AA208" s="5"/>
    </row>
    <row r="209" spans="1:27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5"/>
      <c r="Z209" s="5"/>
      <c r="AA209" s="5"/>
    </row>
    <row r="210" spans="1:27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5"/>
      <c r="Z210" s="5"/>
      <c r="AA210" s="5"/>
    </row>
    <row r="211" spans="1:27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5"/>
      <c r="Z211" s="5"/>
      <c r="AA211" s="5"/>
    </row>
    <row r="212" spans="1:27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5"/>
      <c r="Z212" s="5"/>
      <c r="AA212" s="5"/>
    </row>
    <row r="213" spans="1:27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5"/>
      <c r="Z213" s="5"/>
      <c r="AA213" s="5"/>
    </row>
    <row r="214" spans="1:27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5"/>
      <c r="Z214" s="5"/>
      <c r="AA214" s="5"/>
    </row>
    <row r="215" spans="1:27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5"/>
      <c r="Z215" s="5"/>
      <c r="AA215" s="5"/>
    </row>
    <row r="216" spans="1:27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5"/>
      <c r="Z216" s="5"/>
      <c r="AA216" s="5"/>
    </row>
    <row r="217" spans="1:27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5"/>
      <c r="Z217" s="5"/>
      <c r="AA217" s="5"/>
    </row>
    <row r="218" spans="1:27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5"/>
      <c r="Z218" s="5"/>
      <c r="AA218" s="5"/>
    </row>
    <row r="219" spans="1:27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5"/>
      <c r="Z219" s="5"/>
      <c r="AA219" s="5"/>
    </row>
    <row r="220" spans="1:27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5"/>
      <c r="Z220" s="5"/>
      <c r="AA220" s="5"/>
    </row>
    <row r="221" spans="1:27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5"/>
      <c r="Z221" s="5"/>
      <c r="AA221" s="5"/>
    </row>
    <row r="222" spans="1:27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5"/>
      <c r="Z222" s="5"/>
      <c r="AA222" s="5"/>
    </row>
    <row r="223" spans="1:27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5"/>
      <c r="Z223" s="5"/>
      <c r="AA223" s="5"/>
    </row>
    <row r="224" spans="1:27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5"/>
      <c r="Z224" s="5"/>
      <c r="AA224" s="5"/>
    </row>
    <row r="225" spans="1:27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5"/>
      <c r="Z225" s="5"/>
      <c r="AA225" s="5"/>
    </row>
    <row r="226" spans="1:27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5"/>
      <c r="Z226" s="5"/>
      <c r="AA226" s="5"/>
    </row>
    <row r="227" spans="1:27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5"/>
      <c r="Z227" s="5"/>
      <c r="AA227" s="5"/>
    </row>
    <row r="228" spans="1:27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5"/>
      <c r="Z228" s="5"/>
      <c r="AA228" s="5"/>
    </row>
    <row r="229" spans="1:27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5"/>
      <c r="Z229" s="5"/>
      <c r="AA229" s="5"/>
    </row>
    <row r="230" spans="1:27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5"/>
      <c r="Z230" s="5"/>
      <c r="AA230" s="5"/>
    </row>
    <row r="231" spans="1:27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5"/>
      <c r="Z231" s="5"/>
      <c r="AA231" s="5"/>
    </row>
    <row r="232" spans="1:27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5"/>
      <c r="Z232" s="5"/>
      <c r="AA232" s="5"/>
    </row>
    <row r="233" spans="1:27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5"/>
      <c r="Z233" s="5"/>
      <c r="AA233" s="5"/>
    </row>
    <row r="234" spans="1:27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5"/>
      <c r="Z234" s="5"/>
      <c r="AA234" s="5"/>
    </row>
    <row r="235" spans="1:27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5"/>
      <c r="Z235" s="5"/>
      <c r="AA235" s="5"/>
    </row>
    <row r="236" spans="1:27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5"/>
      <c r="Z236" s="5"/>
      <c r="AA236" s="5"/>
    </row>
    <row r="237" spans="1:27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5"/>
      <c r="Z237" s="5"/>
      <c r="AA237" s="5"/>
    </row>
    <row r="238" spans="1:27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5"/>
      <c r="Z238" s="5"/>
      <c r="AA238" s="5"/>
    </row>
    <row r="239" spans="1:27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5"/>
      <c r="Z239" s="5"/>
      <c r="AA239" s="5"/>
    </row>
    <row r="240" spans="1:27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5"/>
      <c r="Z240" s="5"/>
      <c r="AA240" s="5"/>
    </row>
    <row r="241" spans="1:27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5"/>
      <c r="Z241" s="5"/>
      <c r="AA241" s="5"/>
    </row>
    <row r="242" spans="1:27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5"/>
      <c r="Z242" s="5"/>
      <c r="AA242" s="5"/>
    </row>
    <row r="243" spans="1:27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5"/>
      <c r="Z243" s="5"/>
      <c r="AA243" s="5"/>
    </row>
    <row r="244" spans="1:27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5"/>
      <c r="Z244" s="5"/>
      <c r="AA244" s="5"/>
    </row>
    <row r="245" spans="1:27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5"/>
      <c r="Z245" s="5"/>
      <c r="AA245" s="5"/>
    </row>
    <row r="246" spans="1:27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5"/>
      <c r="Z246" s="5"/>
      <c r="AA246" s="5"/>
    </row>
    <row r="247" spans="1:27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5"/>
      <c r="Z247" s="5"/>
      <c r="AA247" s="5"/>
    </row>
    <row r="248" spans="1:27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5"/>
      <c r="Z248" s="5"/>
      <c r="AA248" s="5"/>
    </row>
    <row r="249" spans="1:27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5"/>
      <c r="Z249" s="5"/>
      <c r="AA249" s="5"/>
    </row>
    <row r="250" spans="1:27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5"/>
      <c r="Z250" s="5"/>
      <c r="AA250" s="5"/>
    </row>
    <row r="251" spans="1:27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5"/>
      <c r="Z251" s="5"/>
      <c r="AA251" s="5"/>
    </row>
    <row r="252" spans="1:27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5"/>
      <c r="Z252" s="5"/>
      <c r="AA252" s="5"/>
    </row>
    <row r="253" spans="1:27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5"/>
      <c r="Z253" s="5"/>
      <c r="AA253" s="5"/>
    </row>
    <row r="254" spans="1:27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5"/>
      <c r="Z254" s="5"/>
      <c r="AA254" s="5"/>
    </row>
    <row r="255" spans="1:27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5"/>
      <c r="Z255" s="5"/>
      <c r="AA255" s="5"/>
    </row>
    <row r="256" spans="1:27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5"/>
      <c r="Z256" s="5"/>
      <c r="AA256" s="5"/>
    </row>
    <row r="257" spans="1:27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5"/>
      <c r="Z257" s="5"/>
      <c r="AA257" s="5"/>
    </row>
    <row r="258" spans="1:27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5"/>
      <c r="Z258" s="5"/>
      <c r="AA258" s="5"/>
    </row>
    <row r="259" spans="1:27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5"/>
      <c r="Z259" s="5"/>
      <c r="AA259" s="5"/>
    </row>
    <row r="260" spans="1:27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5"/>
      <c r="Z260" s="5"/>
      <c r="AA260" s="5"/>
    </row>
    <row r="261" spans="1:27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5"/>
      <c r="Z261" s="5"/>
      <c r="AA261" s="5"/>
    </row>
    <row r="262" spans="1:27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5"/>
      <c r="Z262" s="5"/>
      <c r="AA262" s="5"/>
    </row>
    <row r="263" spans="1:27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5"/>
      <c r="Z263" s="5"/>
      <c r="AA263" s="5"/>
    </row>
    <row r="264" spans="1:27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5"/>
      <c r="Z264" s="5"/>
      <c r="AA264" s="5"/>
    </row>
    <row r="265" spans="1:27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5"/>
      <c r="Z265" s="5"/>
      <c r="AA265" s="5"/>
    </row>
    <row r="266" spans="1:27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5"/>
      <c r="Z266" s="5"/>
      <c r="AA266" s="5"/>
    </row>
    <row r="267" spans="1:27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5"/>
      <c r="Z267" s="5"/>
      <c r="AA267" s="5"/>
    </row>
    <row r="268" spans="1:27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5"/>
      <c r="Z268" s="5"/>
      <c r="AA268" s="5"/>
    </row>
    <row r="269" spans="1:27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5"/>
      <c r="Z269" s="5"/>
      <c r="AA269" s="5"/>
    </row>
    <row r="270" spans="1:27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5"/>
      <c r="Z270" s="5"/>
      <c r="AA270" s="5"/>
    </row>
    <row r="271" spans="1:27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5"/>
      <c r="Z271" s="5"/>
      <c r="AA271" s="5"/>
    </row>
    <row r="272" spans="1:27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5"/>
      <c r="Z272" s="5"/>
      <c r="AA272" s="5"/>
    </row>
    <row r="273" spans="1:27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5"/>
      <c r="Z273" s="5"/>
      <c r="AA273" s="5"/>
    </row>
    <row r="274" spans="1:27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5"/>
      <c r="Z274" s="5"/>
      <c r="AA274" s="5"/>
    </row>
    <row r="275" spans="1:27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5"/>
      <c r="Z275" s="5"/>
      <c r="AA275" s="5"/>
    </row>
    <row r="276" spans="1:27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5"/>
      <c r="Z276" s="5"/>
      <c r="AA276" s="5"/>
    </row>
    <row r="277" spans="1:27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5"/>
      <c r="Z277" s="5"/>
      <c r="AA277" s="5"/>
    </row>
    <row r="278" spans="1:27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5"/>
      <c r="Z278" s="5"/>
      <c r="AA278" s="5"/>
    </row>
    <row r="279" spans="1:27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5"/>
      <c r="Z279" s="5"/>
      <c r="AA279" s="5"/>
    </row>
    <row r="280" spans="1:27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5"/>
      <c r="Z280" s="5"/>
      <c r="AA280" s="5"/>
    </row>
    <row r="281" spans="1:27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5"/>
      <c r="Z281" s="5"/>
      <c r="AA281" s="5"/>
    </row>
    <row r="282" spans="1:27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5"/>
      <c r="Z282" s="5"/>
      <c r="AA282" s="5"/>
    </row>
    <row r="283" spans="1:27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5"/>
      <c r="Z283" s="5"/>
      <c r="AA283" s="5"/>
    </row>
    <row r="284" spans="1:27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5"/>
      <c r="Z284" s="5"/>
      <c r="AA284" s="5"/>
    </row>
    <row r="285" spans="1:27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5"/>
      <c r="Z285" s="5"/>
      <c r="AA285" s="5"/>
    </row>
    <row r="286" spans="1:27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5"/>
      <c r="Z286" s="5"/>
      <c r="AA286" s="5"/>
    </row>
    <row r="287" spans="1:27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5"/>
      <c r="Z287" s="5"/>
      <c r="AA287" s="5"/>
    </row>
    <row r="288" spans="1:27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5"/>
      <c r="Z288" s="5"/>
      <c r="AA288" s="5"/>
    </row>
    <row r="289" spans="1:27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5"/>
      <c r="Z289" s="5"/>
      <c r="AA289" s="5"/>
    </row>
    <row r="290" spans="1:27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5"/>
      <c r="Z290" s="5"/>
      <c r="AA290" s="5"/>
    </row>
    <row r="291" spans="1:27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5"/>
      <c r="Z291" s="5"/>
      <c r="AA291" s="5"/>
    </row>
    <row r="292" spans="1:27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5"/>
      <c r="Z292" s="5"/>
      <c r="AA292" s="5"/>
    </row>
    <row r="293" spans="1:27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5"/>
      <c r="Z293" s="5"/>
      <c r="AA293" s="5"/>
    </row>
    <row r="294" spans="1:27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5"/>
      <c r="Z294" s="5"/>
      <c r="AA294" s="5"/>
    </row>
    <row r="295" spans="1:27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5"/>
      <c r="Z295" s="5"/>
      <c r="AA295" s="5"/>
    </row>
    <row r="296" spans="1:27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5"/>
      <c r="Z296" s="5"/>
      <c r="AA296" s="5"/>
    </row>
    <row r="297" spans="1:27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5"/>
      <c r="Z297" s="5"/>
      <c r="AA297" s="5"/>
    </row>
    <row r="298" spans="1:27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5"/>
      <c r="Z298" s="5"/>
      <c r="AA298" s="5"/>
    </row>
    <row r="299" spans="1:27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5"/>
      <c r="Z299" s="5"/>
      <c r="AA299" s="5"/>
    </row>
    <row r="300" spans="1:27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7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7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7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7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</sheetData>
  <mergeCells count="10">
    <mergeCell ref="AU2:AV2"/>
    <mergeCell ref="U2:V2"/>
    <mergeCell ref="X2:Y2"/>
    <mergeCell ref="A1:Y1"/>
    <mergeCell ref="AB1:AV1"/>
    <mergeCell ref="G2:L2"/>
    <mergeCell ref="AD2:AI2"/>
    <mergeCell ref="AK2:AP2"/>
    <mergeCell ref="AR2:AS2"/>
    <mergeCell ref="N2:S2"/>
  </mergeCells>
  <pageMargins left="0.7" right="0.7" top="0.75" bottom="0.75" header="0" footer="0"/>
  <pageSetup orientation="landscape" r:id="rId1"/>
  <ignoredErrors>
    <ignoredError sqref="J3 Q3 AG3 AN3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A6790-A119-444B-BBB7-644848544E0F}">
  <dimension ref="A1:AV1139"/>
  <sheetViews>
    <sheetView workbookViewId="0">
      <pane xSplit="1" topLeftCell="B1" activePane="topRight" state="frozen"/>
      <selection pane="topRight" sqref="A1:Y1"/>
    </sheetView>
  </sheetViews>
  <sheetFormatPr baseColWidth="10" defaultColWidth="12.5703125" defaultRowHeight="15" customHeight="1" x14ac:dyDescent="0.25"/>
  <cols>
    <col min="1" max="1" width="25.7109375" customWidth="1"/>
    <col min="2" max="48" width="7.7109375" customWidth="1"/>
  </cols>
  <sheetData>
    <row r="1" spans="1:48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</row>
    <row r="2" spans="1:48" ht="26.25" x14ac:dyDescent="0.4">
      <c r="A2" s="11"/>
      <c r="B2" s="14"/>
      <c r="C2" s="14"/>
      <c r="D2" s="14"/>
      <c r="E2" s="14"/>
      <c r="F2" s="14"/>
      <c r="G2" s="17" t="s">
        <v>37</v>
      </c>
      <c r="H2" s="17"/>
      <c r="I2" s="17"/>
      <c r="J2" s="17"/>
      <c r="K2" s="17"/>
      <c r="L2" s="17"/>
      <c r="M2" s="14"/>
      <c r="N2" s="17" t="s">
        <v>38</v>
      </c>
      <c r="O2" s="17"/>
      <c r="P2" s="17"/>
      <c r="Q2" s="17"/>
      <c r="R2" s="17"/>
      <c r="S2" s="17"/>
      <c r="T2" s="14"/>
      <c r="U2" s="17" t="s">
        <v>39</v>
      </c>
      <c r="V2" s="17"/>
      <c r="W2" s="14"/>
      <c r="X2" s="17" t="s">
        <v>40</v>
      </c>
      <c r="Y2" s="17"/>
      <c r="AB2" s="16"/>
      <c r="AC2" s="16"/>
      <c r="AD2" s="17" t="s">
        <v>37</v>
      </c>
      <c r="AE2" s="17"/>
      <c r="AF2" s="17"/>
      <c r="AG2" s="17"/>
      <c r="AH2" s="17"/>
      <c r="AI2" s="17"/>
      <c r="AJ2" s="12"/>
      <c r="AK2" s="17" t="s">
        <v>38</v>
      </c>
      <c r="AL2" s="17"/>
      <c r="AM2" s="17"/>
      <c r="AN2" s="17"/>
      <c r="AO2" s="17"/>
      <c r="AP2" s="17"/>
      <c r="AQ2" s="12"/>
      <c r="AR2" s="17" t="s">
        <v>39</v>
      </c>
      <c r="AS2" s="17"/>
      <c r="AT2" s="12"/>
      <c r="AU2" s="17" t="s">
        <v>40</v>
      </c>
      <c r="AV2" s="17"/>
    </row>
    <row r="3" spans="1:48" x14ac:dyDescent="0.25">
      <c r="A3" s="13" t="s">
        <v>1</v>
      </c>
      <c r="B3" s="13" t="s">
        <v>25</v>
      </c>
      <c r="C3" s="13" t="s">
        <v>26</v>
      </c>
      <c r="D3" s="13" t="s">
        <v>27</v>
      </c>
      <c r="E3" s="13" t="s">
        <v>28</v>
      </c>
      <c r="F3" s="13"/>
      <c r="G3" s="13" t="s">
        <v>29</v>
      </c>
      <c r="H3" s="13" t="s">
        <v>30</v>
      </c>
      <c r="I3" s="15" t="s">
        <v>31</v>
      </c>
      <c r="J3" s="15" t="s">
        <v>32</v>
      </c>
      <c r="K3" s="15" t="s">
        <v>33</v>
      </c>
      <c r="L3" s="13" t="s">
        <v>34</v>
      </c>
      <c r="M3" s="13"/>
      <c r="N3" s="13" t="s">
        <v>29</v>
      </c>
      <c r="O3" s="13" t="s">
        <v>30</v>
      </c>
      <c r="P3" s="15" t="s">
        <v>31</v>
      </c>
      <c r="Q3" s="15" t="s">
        <v>32</v>
      </c>
      <c r="R3" s="15" t="s">
        <v>33</v>
      </c>
      <c r="S3" s="13" t="s">
        <v>34</v>
      </c>
      <c r="T3" s="13"/>
      <c r="U3" s="13" t="s">
        <v>29</v>
      </c>
      <c r="V3" s="13" t="s">
        <v>34</v>
      </c>
      <c r="W3" s="13"/>
      <c r="X3" s="13" t="s">
        <v>35</v>
      </c>
      <c r="Y3" s="13" t="s">
        <v>36</v>
      </c>
      <c r="AB3" s="13" t="s">
        <v>27</v>
      </c>
      <c r="AC3" s="13"/>
      <c r="AD3" s="13" t="s">
        <v>29</v>
      </c>
      <c r="AE3" s="13" t="s">
        <v>30</v>
      </c>
      <c r="AF3" s="15" t="s">
        <v>31</v>
      </c>
      <c r="AG3" s="15" t="s">
        <v>32</v>
      </c>
      <c r="AH3" s="15" t="s">
        <v>33</v>
      </c>
      <c r="AI3" s="13" t="s">
        <v>34</v>
      </c>
      <c r="AJ3" s="13"/>
      <c r="AK3" s="13" t="s">
        <v>29</v>
      </c>
      <c r="AL3" s="13" t="s">
        <v>30</v>
      </c>
      <c r="AM3" s="15" t="s">
        <v>31</v>
      </c>
      <c r="AN3" s="15" t="s">
        <v>32</v>
      </c>
      <c r="AO3" s="15" t="s">
        <v>33</v>
      </c>
      <c r="AP3" s="13" t="s">
        <v>34</v>
      </c>
      <c r="AQ3" s="13"/>
      <c r="AR3" s="13" t="s">
        <v>29</v>
      </c>
      <c r="AS3" s="13" t="s">
        <v>34</v>
      </c>
      <c r="AT3" s="13"/>
      <c r="AU3" s="13" t="s">
        <v>35</v>
      </c>
      <c r="AV3" s="13" t="s">
        <v>36</v>
      </c>
    </row>
    <row r="4" spans="1:48" x14ac:dyDescent="0.25">
      <c r="A4" s="6" t="s">
        <v>51</v>
      </c>
      <c r="B4" s="7">
        <v>40</v>
      </c>
      <c r="C4" s="1">
        <v>8050</v>
      </c>
      <c r="D4" s="9">
        <v>0.43</v>
      </c>
      <c r="E4" s="9">
        <v>13</v>
      </c>
      <c r="F4" s="9"/>
      <c r="G4" s="9">
        <v>0.68600000000000005</v>
      </c>
      <c r="H4" s="9">
        <v>0.219</v>
      </c>
      <c r="I4" s="9">
        <v>0.246</v>
      </c>
      <c r="J4" s="9">
        <v>0.11899999999999999</v>
      </c>
      <c r="K4" s="9">
        <v>0.10199999999999999</v>
      </c>
      <c r="L4" s="9">
        <v>0.314</v>
      </c>
      <c r="M4" s="9"/>
      <c r="N4" s="9">
        <v>0.47399999999999998</v>
      </c>
      <c r="O4" s="9">
        <v>0.61899999999999999</v>
      </c>
      <c r="P4" s="9">
        <v>0.42599999999999999</v>
      </c>
      <c r="Q4" s="9">
        <v>0.35499999999999998</v>
      </c>
      <c r="R4" s="9">
        <v>0.41799999999999998</v>
      </c>
      <c r="S4" s="9">
        <v>0.33300000000000002</v>
      </c>
      <c r="T4" s="9"/>
      <c r="U4" s="9">
        <v>0.56599999999999995</v>
      </c>
      <c r="V4" s="9">
        <v>0.85499999999999998</v>
      </c>
      <c r="W4" s="9"/>
      <c r="X4" s="10">
        <v>0.20899999999999999</v>
      </c>
      <c r="Y4" s="10">
        <v>0.34300000000000003</v>
      </c>
      <c r="Z4" s="5"/>
      <c r="AA4" s="5"/>
      <c r="AB4" s="5">
        <f t="shared" ref="AB4:AB18" si="0">RANK(D4,D$4:D$18,1)</f>
        <v>3</v>
      </c>
      <c r="AC4" s="5"/>
      <c r="AD4" s="5">
        <f t="shared" ref="AD4:AD18" si="1">RANK(G4,G$4:G$18,1)</f>
        <v>7</v>
      </c>
      <c r="AE4" s="5">
        <f t="shared" ref="AE4:AE18" si="2">RANK(H4,H$4:H$18,1)</f>
        <v>6</v>
      </c>
      <c r="AF4" s="5">
        <f t="shared" ref="AF4:AF18" si="3">RANK(I4,I$4:I$18,1)</f>
        <v>8</v>
      </c>
      <c r="AG4" s="5">
        <f t="shared" ref="AG4:AG18" si="4">RANK(J4,J$4:J$18,1)</f>
        <v>5</v>
      </c>
      <c r="AH4" s="5">
        <f t="shared" ref="AH4:AH18" si="5">RANK(K4,K$4:K$18,1)</f>
        <v>8</v>
      </c>
      <c r="AI4" s="5">
        <f t="shared" ref="AI4:AI18" si="6">RANK(L4,L$4:L$18,1)</f>
        <v>5</v>
      </c>
      <c r="AJ4" s="5"/>
      <c r="AK4" s="5">
        <f t="shared" ref="AK4:AK18" si="7">RANK(N4,N$4:N$18,1)</f>
        <v>3</v>
      </c>
      <c r="AL4" s="5">
        <f t="shared" ref="AL4:AL18" si="8">RANK(O4,O$4:O$18,1)</f>
        <v>3</v>
      </c>
      <c r="AM4" s="5">
        <f t="shared" ref="AM4:AM18" si="9">RANK(P4,P$4:P$18,1)</f>
        <v>5</v>
      </c>
      <c r="AN4" s="5">
        <f t="shared" ref="AN4:AN18" si="10">RANK(Q4,Q$4:Q$18,1)</f>
        <v>3</v>
      </c>
      <c r="AO4" s="5">
        <f t="shared" ref="AO4:AO18" si="11">RANK(R4,R$4:R$18,1)</f>
        <v>12</v>
      </c>
      <c r="AP4" s="5">
        <f t="shared" ref="AP4:AP18" si="12">RANK(S4,S$4:S$18,1)</f>
        <v>3</v>
      </c>
      <c r="AQ4" s="5"/>
      <c r="AR4" s="5">
        <f t="shared" ref="AR4:AR18" si="13">RANK(U4,U$4:U$18,1)</f>
        <v>3</v>
      </c>
      <c r="AS4" s="5">
        <f t="shared" ref="AS4:AS18" si="14">RANK(V4,V$4:V$18,1)</f>
        <v>3</v>
      </c>
      <c r="AT4" s="5"/>
      <c r="AU4" s="5">
        <f>RANK(X4,X$4:X$18,1)</f>
        <v>12</v>
      </c>
      <c r="AV4" s="5">
        <f>RANK(Y4,Y$4:Y$18,1)</f>
        <v>3</v>
      </c>
    </row>
    <row r="5" spans="1:48" x14ac:dyDescent="0.25">
      <c r="A5" s="6" t="s">
        <v>52</v>
      </c>
      <c r="B5" s="7">
        <v>40</v>
      </c>
      <c r="C5" s="1">
        <v>8050</v>
      </c>
      <c r="D5" s="9">
        <v>0.45100000000000001</v>
      </c>
      <c r="E5" s="9">
        <v>12</v>
      </c>
      <c r="F5" s="9"/>
      <c r="G5" s="9">
        <v>0.71399999999999997</v>
      </c>
      <c r="H5" s="9">
        <v>0.29899999999999999</v>
      </c>
      <c r="I5" s="9">
        <v>0.214</v>
      </c>
      <c r="J5" s="9">
        <v>0.11799999999999999</v>
      </c>
      <c r="K5" s="9">
        <v>8.3000000000000004E-2</v>
      </c>
      <c r="L5" s="9">
        <v>0.28599999999999998</v>
      </c>
      <c r="M5" s="9"/>
      <c r="N5" s="9">
        <v>0.498</v>
      </c>
      <c r="O5" s="9">
        <v>0.65200000000000002</v>
      </c>
      <c r="P5" s="9">
        <v>0.39900000000000002</v>
      </c>
      <c r="Q5" s="9">
        <v>0.38900000000000001</v>
      </c>
      <c r="R5" s="9">
        <v>0.35699999999999998</v>
      </c>
      <c r="S5" s="9">
        <v>0.33400000000000002</v>
      </c>
      <c r="T5" s="9"/>
      <c r="U5" s="9">
        <v>0.61</v>
      </c>
      <c r="V5" s="9">
        <v>0.89300000000000002</v>
      </c>
      <c r="W5" s="9"/>
      <c r="X5" s="10">
        <v>0.2</v>
      </c>
      <c r="Y5" s="10">
        <v>0.38900000000000001</v>
      </c>
      <c r="Z5" s="5"/>
      <c r="AA5" s="5"/>
      <c r="AB5" s="5">
        <f t="shared" si="0"/>
        <v>11</v>
      </c>
      <c r="AC5" s="5"/>
      <c r="AD5" s="5">
        <f t="shared" si="1"/>
        <v>12</v>
      </c>
      <c r="AE5" s="5">
        <f t="shared" si="2"/>
        <v>12</v>
      </c>
      <c r="AF5" s="5">
        <f t="shared" si="3"/>
        <v>2</v>
      </c>
      <c r="AG5" s="5">
        <f t="shared" si="4"/>
        <v>3</v>
      </c>
      <c r="AH5" s="5">
        <f t="shared" si="5"/>
        <v>3</v>
      </c>
      <c r="AI5" s="5">
        <f t="shared" si="6"/>
        <v>1</v>
      </c>
      <c r="AJ5" s="5"/>
      <c r="AK5" s="5">
        <f t="shared" si="7"/>
        <v>11</v>
      </c>
      <c r="AL5" s="5">
        <f t="shared" si="8"/>
        <v>5</v>
      </c>
      <c r="AM5" s="5">
        <f t="shared" si="9"/>
        <v>1</v>
      </c>
      <c r="AN5" s="5">
        <f t="shared" si="10"/>
        <v>5</v>
      </c>
      <c r="AO5" s="5">
        <f t="shared" si="11"/>
        <v>7</v>
      </c>
      <c r="AP5" s="5">
        <f t="shared" si="12"/>
        <v>4</v>
      </c>
      <c r="AQ5" s="5"/>
      <c r="AR5" s="5">
        <f t="shared" si="13"/>
        <v>11</v>
      </c>
      <c r="AS5" s="5">
        <f t="shared" si="14"/>
        <v>11</v>
      </c>
      <c r="AT5" s="5"/>
      <c r="AU5" s="5">
        <f t="shared" ref="AU5:AU18" si="15">RANK(X5,X$4:X$18,1)</f>
        <v>8</v>
      </c>
      <c r="AV5" s="5">
        <f t="shared" ref="AV5:AV18" si="16">RANK(Y5,Y$4:Y$18,1)</f>
        <v>9</v>
      </c>
    </row>
    <row r="6" spans="1:48" x14ac:dyDescent="0.25">
      <c r="A6" s="6" t="s">
        <v>48</v>
      </c>
      <c r="B6" s="7">
        <v>40</v>
      </c>
      <c r="C6" s="1">
        <v>8075</v>
      </c>
      <c r="D6" s="9">
        <v>0.435</v>
      </c>
      <c r="E6" s="9">
        <v>13</v>
      </c>
      <c r="F6" s="9"/>
      <c r="G6" s="9">
        <v>0.68</v>
      </c>
      <c r="H6" s="9">
        <v>0.20300000000000001</v>
      </c>
      <c r="I6" s="9">
        <v>0.27200000000000002</v>
      </c>
      <c r="J6" s="9">
        <v>0.124</v>
      </c>
      <c r="K6" s="9">
        <v>8.1000000000000003E-2</v>
      </c>
      <c r="L6" s="9">
        <v>0.32</v>
      </c>
      <c r="M6" s="9"/>
      <c r="N6" s="9">
        <v>0.48799999999999999</v>
      </c>
      <c r="O6" s="9">
        <v>0.66200000000000003</v>
      </c>
      <c r="P6" s="9">
        <v>0.45400000000000001</v>
      </c>
      <c r="Q6" s="9">
        <v>0.39100000000000001</v>
      </c>
      <c r="R6" s="9">
        <v>0.31900000000000001</v>
      </c>
      <c r="S6" s="9">
        <v>0.32100000000000001</v>
      </c>
      <c r="T6" s="9"/>
      <c r="U6" s="9">
        <v>0.60299999999999998</v>
      </c>
      <c r="V6" s="9">
        <v>0.877</v>
      </c>
      <c r="W6" s="9"/>
      <c r="X6" s="10">
        <v>0.20499999999999999</v>
      </c>
      <c r="Y6" s="10">
        <v>0.31</v>
      </c>
      <c r="Z6" s="5"/>
      <c r="AA6" s="5"/>
      <c r="AB6" s="5">
        <f t="shared" si="0"/>
        <v>4</v>
      </c>
      <c r="AC6" s="5"/>
      <c r="AD6" s="5">
        <f t="shared" si="1"/>
        <v>6</v>
      </c>
      <c r="AE6" s="5">
        <f t="shared" si="2"/>
        <v>4</v>
      </c>
      <c r="AF6" s="5">
        <f t="shared" si="3"/>
        <v>11</v>
      </c>
      <c r="AG6" s="5">
        <f t="shared" si="4"/>
        <v>8</v>
      </c>
      <c r="AH6" s="5">
        <f t="shared" si="5"/>
        <v>2</v>
      </c>
      <c r="AI6" s="5">
        <f t="shared" si="6"/>
        <v>7</v>
      </c>
      <c r="AJ6" s="5"/>
      <c r="AK6" s="5">
        <f t="shared" si="7"/>
        <v>8</v>
      </c>
      <c r="AL6" s="5">
        <f t="shared" si="8"/>
        <v>8</v>
      </c>
      <c r="AM6" s="5">
        <f t="shared" si="9"/>
        <v>11</v>
      </c>
      <c r="AN6" s="5">
        <f t="shared" si="10"/>
        <v>7</v>
      </c>
      <c r="AO6" s="5">
        <f t="shared" si="11"/>
        <v>2</v>
      </c>
      <c r="AP6" s="5">
        <f t="shared" si="12"/>
        <v>1</v>
      </c>
      <c r="AQ6" s="5"/>
      <c r="AR6" s="5">
        <f t="shared" si="13"/>
        <v>9</v>
      </c>
      <c r="AS6" s="5">
        <f t="shared" si="14"/>
        <v>8</v>
      </c>
      <c r="AT6" s="5"/>
      <c r="AU6" s="5">
        <f t="shared" si="15"/>
        <v>10</v>
      </c>
      <c r="AV6" s="5">
        <f t="shared" si="16"/>
        <v>1</v>
      </c>
    </row>
    <row r="7" spans="1:48" x14ac:dyDescent="0.25">
      <c r="A7" s="6" t="s">
        <v>49</v>
      </c>
      <c r="B7" s="7">
        <v>40</v>
      </c>
      <c r="C7" s="1">
        <v>8025</v>
      </c>
      <c r="D7" s="9">
        <v>0.44400000000000001</v>
      </c>
      <c r="E7" s="9">
        <v>14</v>
      </c>
      <c r="F7" s="9"/>
      <c r="G7" s="9">
        <v>0.66600000000000004</v>
      </c>
      <c r="H7" s="9">
        <v>0.184</v>
      </c>
      <c r="I7" s="9">
        <v>0.23499999999999999</v>
      </c>
      <c r="J7" s="9">
        <v>0.14000000000000001</v>
      </c>
      <c r="K7" s="9">
        <v>0.107</v>
      </c>
      <c r="L7" s="9">
        <v>0.33400000000000002</v>
      </c>
      <c r="M7" s="9"/>
      <c r="N7" s="9">
        <v>0.48599999999999999</v>
      </c>
      <c r="O7" s="9">
        <v>0.65100000000000002</v>
      </c>
      <c r="P7" s="9">
        <v>0.44800000000000001</v>
      </c>
      <c r="Q7" s="9">
        <v>0.42399999999999999</v>
      </c>
      <c r="R7" s="9">
        <v>0.36499999999999999</v>
      </c>
      <c r="S7" s="9">
        <v>0.36</v>
      </c>
      <c r="T7" s="9"/>
      <c r="U7" s="9">
        <v>0.58299999999999996</v>
      </c>
      <c r="V7" s="9">
        <v>0.872</v>
      </c>
      <c r="W7" s="9"/>
      <c r="X7" s="10">
        <v>0.186</v>
      </c>
      <c r="Y7" s="10">
        <v>0.40200000000000002</v>
      </c>
      <c r="Z7" s="5"/>
      <c r="AA7" s="5"/>
      <c r="AB7" s="5">
        <f t="shared" si="0"/>
        <v>6</v>
      </c>
      <c r="AC7" s="5"/>
      <c r="AD7" s="5">
        <f t="shared" si="1"/>
        <v>5</v>
      </c>
      <c r="AE7" s="5">
        <f t="shared" si="2"/>
        <v>3</v>
      </c>
      <c r="AF7" s="5">
        <f t="shared" si="3"/>
        <v>5</v>
      </c>
      <c r="AG7" s="5">
        <f t="shared" si="4"/>
        <v>12</v>
      </c>
      <c r="AH7" s="5">
        <f t="shared" si="5"/>
        <v>10</v>
      </c>
      <c r="AI7" s="5">
        <f t="shared" si="6"/>
        <v>8</v>
      </c>
      <c r="AJ7" s="5"/>
      <c r="AK7" s="5">
        <f t="shared" si="7"/>
        <v>7</v>
      </c>
      <c r="AL7" s="5">
        <f t="shared" si="8"/>
        <v>4</v>
      </c>
      <c r="AM7" s="5">
        <f t="shared" si="9"/>
        <v>9</v>
      </c>
      <c r="AN7" s="5">
        <f t="shared" si="10"/>
        <v>10</v>
      </c>
      <c r="AO7" s="5">
        <f t="shared" si="11"/>
        <v>9</v>
      </c>
      <c r="AP7" s="5">
        <f t="shared" si="12"/>
        <v>10</v>
      </c>
      <c r="AQ7" s="5"/>
      <c r="AR7" s="5">
        <f t="shared" si="13"/>
        <v>6</v>
      </c>
      <c r="AS7" s="5">
        <f t="shared" si="14"/>
        <v>6</v>
      </c>
      <c r="AT7" s="5"/>
      <c r="AU7" s="5">
        <f t="shared" si="15"/>
        <v>4</v>
      </c>
      <c r="AV7" s="5">
        <f t="shared" si="16"/>
        <v>10</v>
      </c>
    </row>
    <row r="8" spans="1:48" x14ac:dyDescent="0.25">
      <c r="A8" s="6" t="s">
        <v>43</v>
      </c>
      <c r="B8" s="7">
        <v>40</v>
      </c>
      <c r="C8" s="1">
        <v>8075</v>
      </c>
      <c r="D8" s="9">
        <v>0.44500000000000001</v>
      </c>
      <c r="E8" s="9">
        <v>14</v>
      </c>
      <c r="F8" s="9"/>
      <c r="G8" s="9">
        <v>0.66</v>
      </c>
      <c r="H8" s="9">
        <v>0.23</v>
      </c>
      <c r="I8" s="9">
        <v>0.19700000000000001</v>
      </c>
      <c r="J8" s="9">
        <v>0.129</v>
      </c>
      <c r="K8" s="9">
        <v>0.105</v>
      </c>
      <c r="L8" s="9">
        <v>0.34</v>
      </c>
      <c r="M8" s="9"/>
      <c r="N8" s="9">
        <v>0.48099999999999998</v>
      </c>
      <c r="O8" s="9">
        <v>0.61399999999999999</v>
      </c>
      <c r="P8" s="9">
        <v>0.41199999999999998</v>
      </c>
      <c r="Q8" s="9">
        <v>0.41299999999999998</v>
      </c>
      <c r="R8" s="9">
        <v>0.40100000000000002</v>
      </c>
      <c r="S8" s="9">
        <v>0.375</v>
      </c>
      <c r="T8" s="9"/>
      <c r="U8" s="9">
        <v>0.57199999999999995</v>
      </c>
      <c r="V8" s="9">
        <v>0.90400000000000003</v>
      </c>
      <c r="W8" s="9"/>
      <c r="X8" s="10">
        <v>0.20599999999999999</v>
      </c>
      <c r="Y8" s="10">
        <v>0.378</v>
      </c>
      <c r="Z8" s="5"/>
      <c r="AA8" s="5"/>
      <c r="AB8" s="5">
        <f t="shared" si="0"/>
        <v>7</v>
      </c>
      <c r="AC8" s="5"/>
      <c r="AD8" s="5">
        <f t="shared" si="1"/>
        <v>4</v>
      </c>
      <c r="AE8" s="5">
        <f t="shared" si="2"/>
        <v>8</v>
      </c>
      <c r="AF8" s="5">
        <f t="shared" si="3"/>
        <v>1</v>
      </c>
      <c r="AG8" s="5">
        <f t="shared" si="4"/>
        <v>9</v>
      </c>
      <c r="AH8" s="5">
        <f t="shared" si="5"/>
        <v>9</v>
      </c>
      <c r="AI8" s="5">
        <f t="shared" si="6"/>
        <v>9</v>
      </c>
      <c r="AJ8" s="5"/>
      <c r="AK8" s="5">
        <f t="shared" si="7"/>
        <v>4</v>
      </c>
      <c r="AL8" s="5">
        <f t="shared" si="8"/>
        <v>2</v>
      </c>
      <c r="AM8" s="5">
        <f t="shared" si="9"/>
        <v>2</v>
      </c>
      <c r="AN8" s="5">
        <f t="shared" si="10"/>
        <v>9</v>
      </c>
      <c r="AO8" s="5">
        <f t="shared" si="11"/>
        <v>11</v>
      </c>
      <c r="AP8" s="5">
        <f t="shared" si="12"/>
        <v>12</v>
      </c>
      <c r="AQ8" s="5"/>
      <c r="AR8" s="5">
        <f t="shared" si="13"/>
        <v>4</v>
      </c>
      <c r="AS8" s="5">
        <f t="shared" si="14"/>
        <v>12</v>
      </c>
      <c r="AT8" s="5"/>
      <c r="AU8" s="5">
        <f t="shared" si="15"/>
        <v>11</v>
      </c>
      <c r="AV8" s="5">
        <f t="shared" si="16"/>
        <v>7</v>
      </c>
    </row>
    <row r="9" spans="1:48" x14ac:dyDescent="0.25">
      <c r="A9" s="6" t="s">
        <v>42</v>
      </c>
      <c r="B9" s="7">
        <v>40</v>
      </c>
      <c r="C9" s="1">
        <v>8025</v>
      </c>
      <c r="D9" s="9">
        <v>0.45700000000000002</v>
      </c>
      <c r="E9" s="9">
        <v>13</v>
      </c>
      <c r="F9" s="9"/>
      <c r="G9" s="9">
        <v>0.65500000000000003</v>
      </c>
      <c r="H9" s="9">
        <v>0.23100000000000001</v>
      </c>
      <c r="I9" s="9">
        <v>0.24199999999999999</v>
      </c>
      <c r="J9" s="9">
        <v>0.109</v>
      </c>
      <c r="K9" s="9">
        <v>7.3999999999999996E-2</v>
      </c>
      <c r="L9" s="9">
        <v>0.34499999999999997</v>
      </c>
      <c r="M9" s="9"/>
      <c r="N9" s="9">
        <v>0.52600000000000002</v>
      </c>
      <c r="O9" s="9">
        <v>0.72899999999999998</v>
      </c>
      <c r="P9" s="9">
        <v>0.432</v>
      </c>
      <c r="Q9" s="9">
        <v>0.443</v>
      </c>
      <c r="R9" s="9">
        <v>0.32</v>
      </c>
      <c r="S9" s="9">
        <v>0.32600000000000001</v>
      </c>
      <c r="T9" s="9"/>
      <c r="U9" s="9">
        <v>0.59299999999999997</v>
      </c>
      <c r="V9" s="9">
        <v>0.89200000000000002</v>
      </c>
      <c r="W9" s="9"/>
      <c r="X9" s="10">
        <v>0.193</v>
      </c>
      <c r="Y9" s="10">
        <v>0.36599999999999999</v>
      </c>
      <c r="Z9" s="5"/>
      <c r="AA9" s="5"/>
      <c r="AB9" s="5">
        <f t="shared" si="0"/>
        <v>12</v>
      </c>
      <c r="AC9" s="5"/>
      <c r="AD9" s="5">
        <f t="shared" si="1"/>
        <v>3</v>
      </c>
      <c r="AE9" s="5">
        <f t="shared" si="2"/>
        <v>9</v>
      </c>
      <c r="AF9" s="5">
        <f t="shared" si="3"/>
        <v>7</v>
      </c>
      <c r="AG9" s="5">
        <f t="shared" si="4"/>
        <v>2</v>
      </c>
      <c r="AH9" s="5">
        <f t="shared" si="5"/>
        <v>1</v>
      </c>
      <c r="AI9" s="5">
        <f t="shared" si="6"/>
        <v>10</v>
      </c>
      <c r="AJ9" s="5"/>
      <c r="AK9" s="5">
        <f t="shared" si="7"/>
        <v>12</v>
      </c>
      <c r="AL9" s="5">
        <f t="shared" si="8"/>
        <v>12</v>
      </c>
      <c r="AM9" s="5">
        <f t="shared" si="9"/>
        <v>7</v>
      </c>
      <c r="AN9" s="5">
        <f t="shared" si="10"/>
        <v>12</v>
      </c>
      <c r="AO9" s="5">
        <f t="shared" si="11"/>
        <v>3</v>
      </c>
      <c r="AP9" s="5">
        <f t="shared" si="12"/>
        <v>2</v>
      </c>
      <c r="AQ9" s="5"/>
      <c r="AR9" s="5">
        <f t="shared" si="13"/>
        <v>8</v>
      </c>
      <c r="AS9" s="5">
        <f t="shared" si="14"/>
        <v>10</v>
      </c>
      <c r="AT9" s="5"/>
      <c r="AU9" s="5">
        <f t="shared" si="15"/>
        <v>7</v>
      </c>
      <c r="AV9" s="5">
        <f t="shared" si="16"/>
        <v>4</v>
      </c>
    </row>
    <row r="10" spans="1:48" x14ac:dyDescent="0.25">
      <c r="A10" s="6" t="s">
        <v>46</v>
      </c>
      <c r="B10" s="7">
        <v>40</v>
      </c>
      <c r="C10" s="1">
        <v>8000</v>
      </c>
      <c r="D10" s="9">
        <v>0.42599999999999999</v>
      </c>
      <c r="E10" s="9">
        <v>14</v>
      </c>
      <c r="F10" s="9"/>
      <c r="G10" s="9">
        <v>0.68600000000000005</v>
      </c>
      <c r="H10" s="9">
        <v>0.13800000000000001</v>
      </c>
      <c r="I10" s="9">
        <v>0.30199999999999999</v>
      </c>
      <c r="J10" s="9">
        <v>0.13100000000000001</v>
      </c>
      <c r="K10" s="9">
        <v>0.114</v>
      </c>
      <c r="L10" s="9">
        <v>0.314</v>
      </c>
      <c r="M10" s="9"/>
      <c r="N10" s="9">
        <v>0.46400000000000002</v>
      </c>
      <c r="O10" s="9">
        <v>0.66200000000000003</v>
      </c>
      <c r="P10" s="9">
        <v>0.46300000000000002</v>
      </c>
      <c r="Q10" s="9">
        <v>0.37</v>
      </c>
      <c r="R10" s="9">
        <v>0.33500000000000002</v>
      </c>
      <c r="S10" s="9">
        <v>0.34300000000000003</v>
      </c>
      <c r="T10" s="9"/>
      <c r="U10" s="9">
        <v>0.57699999999999996</v>
      </c>
      <c r="V10" s="9">
        <v>0.84299999999999997</v>
      </c>
      <c r="W10" s="9"/>
      <c r="X10" s="10">
        <v>0.16600000000000001</v>
      </c>
      <c r="Y10" s="10">
        <v>0.372</v>
      </c>
      <c r="Z10" s="5"/>
      <c r="AA10" s="5"/>
      <c r="AB10" s="5">
        <f t="shared" si="0"/>
        <v>2</v>
      </c>
      <c r="AC10" s="5"/>
      <c r="AD10" s="5">
        <f t="shared" si="1"/>
        <v>7</v>
      </c>
      <c r="AE10" s="5">
        <f t="shared" si="2"/>
        <v>1</v>
      </c>
      <c r="AF10" s="5">
        <f t="shared" si="3"/>
        <v>12</v>
      </c>
      <c r="AG10" s="5">
        <f t="shared" si="4"/>
        <v>11</v>
      </c>
      <c r="AH10" s="5">
        <f t="shared" si="5"/>
        <v>11</v>
      </c>
      <c r="AI10" s="5">
        <f t="shared" si="6"/>
        <v>5</v>
      </c>
      <c r="AJ10" s="5"/>
      <c r="AK10" s="5">
        <f t="shared" si="7"/>
        <v>2</v>
      </c>
      <c r="AL10" s="5">
        <f t="shared" si="8"/>
        <v>8</v>
      </c>
      <c r="AM10" s="5">
        <f t="shared" si="9"/>
        <v>12</v>
      </c>
      <c r="AN10" s="5">
        <f t="shared" si="10"/>
        <v>4</v>
      </c>
      <c r="AO10" s="5">
        <f t="shared" si="11"/>
        <v>4</v>
      </c>
      <c r="AP10" s="5">
        <f t="shared" si="12"/>
        <v>6</v>
      </c>
      <c r="AQ10" s="5"/>
      <c r="AR10" s="5">
        <f t="shared" si="13"/>
        <v>5</v>
      </c>
      <c r="AS10" s="5">
        <f t="shared" si="14"/>
        <v>1</v>
      </c>
      <c r="AT10" s="5"/>
      <c r="AU10" s="5">
        <f t="shared" si="15"/>
        <v>3</v>
      </c>
      <c r="AV10" s="5">
        <f t="shared" si="16"/>
        <v>5</v>
      </c>
    </row>
    <row r="11" spans="1:48" x14ac:dyDescent="0.25">
      <c r="A11" s="6" t="s">
        <v>53</v>
      </c>
      <c r="B11" s="7">
        <v>40</v>
      </c>
      <c r="C11" s="1">
        <v>8050</v>
      </c>
      <c r="D11" s="9">
        <v>0.44600000000000001</v>
      </c>
      <c r="E11" s="9">
        <v>13</v>
      </c>
      <c r="F11" s="9"/>
      <c r="G11" s="9">
        <v>0.64700000000000002</v>
      </c>
      <c r="H11" s="9">
        <v>0.22500000000000001</v>
      </c>
      <c r="I11" s="9">
        <v>0.218</v>
      </c>
      <c r="J11" s="9">
        <v>0.11799999999999999</v>
      </c>
      <c r="K11" s="9">
        <v>8.5999999999999993E-2</v>
      </c>
      <c r="L11" s="9">
        <v>0.35299999999999998</v>
      </c>
      <c r="M11" s="9"/>
      <c r="N11" s="9">
        <v>0.495</v>
      </c>
      <c r="O11" s="9">
        <v>0.68799999999999994</v>
      </c>
      <c r="P11" s="9">
        <v>0.41499999999999998</v>
      </c>
      <c r="Q11" s="9">
        <v>0.38900000000000001</v>
      </c>
      <c r="R11" s="9">
        <v>0.33500000000000002</v>
      </c>
      <c r="S11" s="9">
        <v>0.35699999999999998</v>
      </c>
      <c r="T11" s="9"/>
      <c r="U11" s="9">
        <v>0.56399999999999995</v>
      </c>
      <c r="V11" s="9">
        <v>0.871</v>
      </c>
      <c r="W11" s="9"/>
      <c r="X11" s="10">
        <v>0.191</v>
      </c>
      <c r="Y11" s="10">
        <v>0.34200000000000003</v>
      </c>
      <c r="Z11" s="5"/>
      <c r="AA11" s="5"/>
      <c r="AB11" s="5">
        <f t="shared" si="0"/>
        <v>8</v>
      </c>
      <c r="AC11" s="5"/>
      <c r="AD11" s="5">
        <f t="shared" si="1"/>
        <v>1</v>
      </c>
      <c r="AE11" s="5">
        <f t="shared" si="2"/>
        <v>7</v>
      </c>
      <c r="AF11" s="5">
        <f t="shared" si="3"/>
        <v>3</v>
      </c>
      <c r="AG11" s="5">
        <f t="shared" si="4"/>
        <v>3</v>
      </c>
      <c r="AH11" s="5">
        <f t="shared" si="5"/>
        <v>4</v>
      </c>
      <c r="AI11" s="5">
        <f t="shared" si="6"/>
        <v>12</v>
      </c>
      <c r="AJ11" s="5"/>
      <c r="AK11" s="5">
        <f t="shared" si="7"/>
        <v>10</v>
      </c>
      <c r="AL11" s="5">
        <f t="shared" si="8"/>
        <v>10</v>
      </c>
      <c r="AM11" s="5">
        <f t="shared" si="9"/>
        <v>3</v>
      </c>
      <c r="AN11" s="5">
        <f t="shared" si="10"/>
        <v>5</v>
      </c>
      <c r="AO11" s="5">
        <f t="shared" si="11"/>
        <v>4</v>
      </c>
      <c r="AP11" s="5">
        <f t="shared" si="12"/>
        <v>9</v>
      </c>
      <c r="AQ11" s="5"/>
      <c r="AR11" s="5">
        <f t="shared" si="13"/>
        <v>2</v>
      </c>
      <c r="AS11" s="5">
        <f t="shared" si="14"/>
        <v>5</v>
      </c>
      <c r="AT11" s="5"/>
      <c r="AU11" s="5">
        <f t="shared" si="15"/>
        <v>6</v>
      </c>
      <c r="AV11" s="5">
        <f t="shared" si="16"/>
        <v>2</v>
      </c>
    </row>
    <row r="12" spans="1:48" x14ac:dyDescent="0.25">
      <c r="A12" s="6" t="s">
        <v>47</v>
      </c>
      <c r="B12" s="7">
        <v>40</v>
      </c>
      <c r="C12" s="1">
        <v>8075</v>
      </c>
      <c r="D12" s="9">
        <v>0.42399999999999999</v>
      </c>
      <c r="E12" s="9">
        <v>13</v>
      </c>
      <c r="F12" s="9"/>
      <c r="G12" s="9">
        <v>0.69199999999999995</v>
      </c>
      <c r="H12" s="9">
        <v>0.24099999999999999</v>
      </c>
      <c r="I12" s="9">
        <v>0.22700000000000001</v>
      </c>
      <c r="J12" s="9">
        <v>0.123</v>
      </c>
      <c r="K12" s="9">
        <v>0.10100000000000001</v>
      </c>
      <c r="L12" s="9">
        <v>0.308</v>
      </c>
      <c r="M12" s="9"/>
      <c r="N12" s="9">
        <v>0.46100000000000002</v>
      </c>
      <c r="O12" s="9">
        <v>0.60699999999999998</v>
      </c>
      <c r="P12" s="9">
        <v>0.437</v>
      </c>
      <c r="Q12" s="9">
        <v>0.34699999999999998</v>
      </c>
      <c r="R12" s="9">
        <v>0.30399999999999999</v>
      </c>
      <c r="S12" s="9">
        <v>0.34100000000000003</v>
      </c>
      <c r="T12" s="9"/>
      <c r="U12" s="9">
        <v>0.55400000000000005</v>
      </c>
      <c r="V12" s="9">
        <v>0.86599999999999999</v>
      </c>
      <c r="W12" s="9"/>
      <c r="X12" s="10">
        <v>0.16200000000000001</v>
      </c>
      <c r="Y12" s="10">
        <v>0.373</v>
      </c>
      <c r="Z12" s="5"/>
      <c r="AA12" s="5"/>
      <c r="AB12" s="5">
        <f t="shared" si="0"/>
        <v>1</v>
      </c>
      <c r="AC12" s="5"/>
      <c r="AD12" s="5">
        <f t="shared" si="1"/>
        <v>11</v>
      </c>
      <c r="AE12" s="5">
        <f t="shared" si="2"/>
        <v>11</v>
      </c>
      <c r="AF12" s="5">
        <f t="shared" si="3"/>
        <v>4</v>
      </c>
      <c r="AG12" s="5">
        <f t="shared" si="4"/>
        <v>7</v>
      </c>
      <c r="AH12" s="5">
        <f t="shared" si="5"/>
        <v>7</v>
      </c>
      <c r="AI12" s="5">
        <f t="shared" si="6"/>
        <v>2</v>
      </c>
      <c r="AJ12" s="5"/>
      <c r="AK12" s="5">
        <f t="shared" si="7"/>
        <v>1</v>
      </c>
      <c r="AL12" s="5">
        <f t="shared" si="8"/>
        <v>1</v>
      </c>
      <c r="AM12" s="5">
        <f t="shared" si="9"/>
        <v>8</v>
      </c>
      <c r="AN12" s="5">
        <f t="shared" si="10"/>
        <v>2</v>
      </c>
      <c r="AO12" s="5">
        <f t="shared" si="11"/>
        <v>1</v>
      </c>
      <c r="AP12" s="5">
        <f t="shared" si="12"/>
        <v>5</v>
      </c>
      <c r="AQ12" s="5"/>
      <c r="AR12" s="5">
        <f t="shared" si="13"/>
        <v>1</v>
      </c>
      <c r="AS12" s="5">
        <f t="shared" si="14"/>
        <v>4</v>
      </c>
      <c r="AT12" s="5"/>
      <c r="AU12" s="5">
        <f t="shared" si="15"/>
        <v>1</v>
      </c>
      <c r="AV12" s="5">
        <f t="shared" si="16"/>
        <v>6</v>
      </c>
    </row>
    <row r="13" spans="1:48" x14ac:dyDescent="0.25">
      <c r="A13" s="6" t="s">
        <v>45</v>
      </c>
      <c r="B13" s="7">
        <v>40</v>
      </c>
      <c r="C13" s="1">
        <v>8025</v>
      </c>
      <c r="D13" s="9">
        <v>0.44800000000000001</v>
      </c>
      <c r="E13" s="9">
        <v>14</v>
      </c>
      <c r="F13" s="9"/>
      <c r="G13" s="9">
        <v>0.69</v>
      </c>
      <c r="H13" s="9">
        <v>0.20899999999999999</v>
      </c>
      <c r="I13" s="9">
        <v>0.24099999999999999</v>
      </c>
      <c r="J13" s="9">
        <v>0.11899999999999999</v>
      </c>
      <c r="K13" s="9">
        <v>0.121</v>
      </c>
      <c r="L13" s="9">
        <v>0.31</v>
      </c>
      <c r="M13" s="9"/>
      <c r="N13" s="9">
        <v>0.48399999999999999</v>
      </c>
      <c r="O13" s="9">
        <v>0.65400000000000003</v>
      </c>
      <c r="P13" s="9">
        <v>0.42699999999999999</v>
      </c>
      <c r="Q13" s="9">
        <v>0.39900000000000002</v>
      </c>
      <c r="R13" s="9">
        <v>0.38600000000000001</v>
      </c>
      <c r="S13" s="9">
        <v>0.37</v>
      </c>
      <c r="T13" s="9"/>
      <c r="U13" s="9">
        <v>0.58499999999999996</v>
      </c>
      <c r="V13" s="9">
        <v>0.84399999999999997</v>
      </c>
      <c r="W13" s="9"/>
      <c r="X13" s="10">
        <v>0.16300000000000001</v>
      </c>
      <c r="Y13" s="10">
        <v>0.46800000000000003</v>
      </c>
      <c r="Z13" s="5"/>
      <c r="AA13" s="5"/>
      <c r="AB13" s="5">
        <f t="shared" si="0"/>
        <v>9</v>
      </c>
      <c r="AC13" s="5"/>
      <c r="AD13" s="5">
        <f t="shared" si="1"/>
        <v>9</v>
      </c>
      <c r="AE13" s="5">
        <f t="shared" si="2"/>
        <v>5</v>
      </c>
      <c r="AF13" s="5">
        <f t="shared" si="3"/>
        <v>6</v>
      </c>
      <c r="AG13" s="5">
        <f t="shared" si="4"/>
        <v>5</v>
      </c>
      <c r="AH13" s="5">
        <f t="shared" si="5"/>
        <v>12</v>
      </c>
      <c r="AI13" s="5">
        <f t="shared" si="6"/>
        <v>4</v>
      </c>
      <c r="AJ13" s="5"/>
      <c r="AK13" s="5">
        <f t="shared" si="7"/>
        <v>5</v>
      </c>
      <c r="AL13" s="5">
        <f t="shared" si="8"/>
        <v>6</v>
      </c>
      <c r="AM13" s="5">
        <f t="shared" si="9"/>
        <v>6</v>
      </c>
      <c r="AN13" s="5">
        <f t="shared" si="10"/>
        <v>8</v>
      </c>
      <c r="AO13" s="5">
        <f t="shared" si="11"/>
        <v>10</v>
      </c>
      <c r="AP13" s="5">
        <f t="shared" si="12"/>
        <v>11</v>
      </c>
      <c r="AQ13" s="5"/>
      <c r="AR13" s="5">
        <f t="shared" si="13"/>
        <v>7</v>
      </c>
      <c r="AS13" s="5">
        <f t="shared" si="14"/>
        <v>2</v>
      </c>
      <c r="AT13" s="5"/>
      <c r="AU13" s="5">
        <f t="shared" si="15"/>
        <v>2</v>
      </c>
      <c r="AV13" s="5">
        <f t="shared" si="16"/>
        <v>12</v>
      </c>
    </row>
    <row r="14" spans="1:48" x14ac:dyDescent="0.25">
      <c r="A14" s="6" t="s">
        <v>44</v>
      </c>
      <c r="B14" s="7">
        <v>40</v>
      </c>
      <c r="C14" s="1">
        <v>8025</v>
      </c>
      <c r="D14" s="9">
        <v>0.44800000000000001</v>
      </c>
      <c r="E14" s="9">
        <v>13</v>
      </c>
      <c r="F14" s="9"/>
      <c r="G14" s="9">
        <v>0.69099999999999995</v>
      </c>
      <c r="H14" s="9">
        <v>0.23200000000000001</v>
      </c>
      <c r="I14" s="9">
        <v>0.26500000000000001</v>
      </c>
      <c r="J14" s="9">
        <v>0.10199999999999999</v>
      </c>
      <c r="K14" s="9">
        <v>9.1999999999999998E-2</v>
      </c>
      <c r="L14" s="9">
        <v>0.309</v>
      </c>
      <c r="M14" s="9"/>
      <c r="N14" s="9">
        <v>0.49099999999999999</v>
      </c>
      <c r="O14" s="9">
        <v>0.65700000000000003</v>
      </c>
      <c r="P14" s="9">
        <v>0.41799999999999998</v>
      </c>
      <c r="Q14" s="9">
        <v>0.43099999999999999</v>
      </c>
      <c r="R14" s="9">
        <v>0.34599999999999997</v>
      </c>
      <c r="S14" s="9">
        <v>0.35299999999999998</v>
      </c>
      <c r="T14" s="9"/>
      <c r="U14" s="9">
        <v>0.61399999999999999</v>
      </c>
      <c r="V14" s="9">
        <v>0.874</v>
      </c>
      <c r="W14" s="9"/>
      <c r="X14" s="10">
        <v>0.20100000000000001</v>
      </c>
      <c r="Y14" s="10">
        <v>0.378</v>
      </c>
      <c r="Z14" s="5"/>
      <c r="AA14" s="5"/>
      <c r="AB14" s="5">
        <f t="shared" si="0"/>
        <v>9</v>
      </c>
      <c r="AC14" s="5"/>
      <c r="AD14" s="5">
        <f t="shared" si="1"/>
        <v>10</v>
      </c>
      <c r="AE14" s="5">
        <f t="shared" si="2"/>
        <v>10</v>
      </c>
      <c r="AF14" s="5">
        <f t="shared" si="3"/>
        <v>10</v>
      </c>
      <c r="AG14" s="5">
        <f t="shared" si="4"/>
        <v>1</v>
      </c>
      <c r="AH14" s="5">
        <f t="shared" si="5"/>
        <v>5</v>
      </c>
      <c r="AI14" s="5">
        <f t="shared" si="6"/>
        <v>3</v>
      </c>
      <c r="AJ14" s="5"/>
      <c r="AK14" s="5">
        <f t="shared" si="7"/>
        <v>9</v>
      </c>
      <c r="AL14" s="5">
        <f t="shared" si="8"/>
        <v>7</v>
      </c>
      <c r="AM14" s="5">
        <f t="shared" si="9"/>
        <v>4</v>
      </c>
      <c r="AN14" s="5">
        <f t="shared" si="10"/>
        <v>11</v>
      </c>
      <c r="AO14" s="5">
        <f t="shared" si="11"/>
        <v>6</v>
      </c>
      <c r="AP14" s="5">
        <f t="shared" si="12"/>
        <v>8</v>
      </c>
      <c r="AQ14" s="5"/>
      <c r="AR14" s="5">
        <f t="shared" si="13"/>
        <v>12</v>
      </c>
      <c r="AS14" s="5">
        <f t="shared" si="14"/>
        <v>7</v>
      </c>
      <c r="AT14" s="5"/>
      <c r="AU14" s="5">
        <f t="shared" si="15"/>
        <v>9</v>
      </c>
      <c r="AV14" s="5">
        <f t="shared" si="16"/>
        <v>7</v>
      </c>
    </row>
    <row r="15" spans="1:48" x14ac:dyDescent="0.25">
      <c r="A15" s="6" t="s">
        <v>50</v>
      </c>
      <c r="B15" s="7">
        <v>40</v>
      </c>
      <c r="C15" s="1">
        <v>8025</v>
      </c>
      <c r="D15" s="9">
        <v>0.436</v>
      </c>
      <c r="E15" s="9">
        <v>14</v>
      </c>
      <c r="F15" s="9"/>
      <c r="G15" s="9">
        <v>0.65</v>
      </c>
      <c r="H15" s="9">
        <v>0.17299999999999999</v>
      </c>
      <c r="I15" s="9">
        <v>0.253</v>
      </c>
      <c r="J15" s="9">
        <v>0.129</v>
      </c>
      <c r="K15" s="9">
        <v>9.5000000000000001E-2</v>
      </c>
      <c r="L15" s="9">
        <v>0.35</v>
      </c>
      <c r="M15" s="9"/>
      <c r="N15" s="9">
        <v>0.48499999999999999</v>
      </c>
      <c r="O15" s="9">
        <v>0.70899999999999996</v>
      </c>
      <c r="P15" s="9">
        <v>0.45200000000000001</v>
      </c>
      <c r="Q15" s="9">
        <v>0.34200000000000003</v>
      </c>
      <c r="R15" s="9">
        <v>0.36099999999999999</v>
      </c>
      <c r="S15" s="9">
        <v>0.34499999999999997</v>
      </c>
      <c r="T15" s="9"/>
      <c r="U15" s="9">
        <v>0.60799999999999998</v>
      </c>
      <c r="V15" s="9">
        <v>0.88</v>
      </c>
      <c r="W15" s="9"/>
      <c r="X15" s="10">
        <v>0.19</v>
      </c>
      <c r="Y15" s="10">
        <v>0.44</v>
      </c>
      <c r="Z15" s="5"/>
      <c r="AA15" s="5"/>
      <c r="AB15" s="5">
        <f t="shared" si="0"/>
        <v>5</v>
      </c>
      <c r="AC15" s="5"/>
      <c r="AD15" s="5">
        <f t="shared" si="1"/>
        <v>2</v>
      </c>
      <c r="AE15" s="5">
        <f t="shared" si="2"/>
        <v>2</v>
      </c>
      <c r="AF15" s="5">
        <f t="shared" si="3"/>
        <v>9</v>
      </c>
      <c r="AG15" s="5">
        <f t="shared" si="4"/>
        <v>9</v>
      </c>
      <c r="AH15" s="5">
        <f t="shared" si="5"/>
        <v>6</v>
      </c>
      <c r="AI15" s="5">
        <f t="shared" si="6"/>
        <v>11</v>
      </c>
      <c r="AJ15" s="5"/>
      <c r="AK15" s="5">
        <f t="shared" si="7"/>
        <v>6</v>
      </c>
      <c r="AL15" s="5">
        <f t="shared" si="8"/>
        <v>11</v>
      </c>
      <c r="AM15" s="5">
        <f t="shared" si="9"/>
        <v>10</v>
      </c>
      <c r="AN15" s="5">
        <f t="shared" si="10"/>
        <v>1</v>
      </c>
      <c r="AO15" s="5">
        <f t="shared" si="11"/>
        <v>8</v>
      </c>
      <c r="AP15" s="5">
        <f t="shared" si="12"/>
        <v>7</v>
      </c>
      <c r="AQ15" s="5"/>
      <c r="AR15" s="5">
        <f t="shared" si="13"/>
        <v>10</v>
      </c>
      <c r="AS15" s="5">
        <f t="shared" si="14"/>
        <v>9</v>
      </c>
      <c r="AT15" s="5"/>
      <c r="AU15" s="5">
        <f t="shared" si="15"/>
        <v>5</v>
      </c>
      <c r="AV15" s="5">
        <f t="shared" si="16"/>
        <v>11</v>
      </c>
    </row>
    <row r="16" spans="1:48" x14ac:dyDescent="0.25">
      <c r="A16" s="6"/>
      <c r="B16" s="7"/>
      <c r="C16" s="1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25">
      <c r="A17" s="6"/>
      <c r="B17" s="7"/>
      <c r="C17" s="1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6"/>
      <c r="B18" s="7"/>
      <c r="C18" s="1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5"/>
      <c r="Y19" s="5"/>
      <c r="Z19" s="5"/>
      <c r="AA19" s="5"/>
    </row>
    <row r="20" spans="1:48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</row>
    <row r="21" spans="1:48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5"/>
      <c r="Y21" s="5"/>
      <c r="Z21" s="5"/>
      <c r="AA21" s="5"/>
    </row>
    <row r="22" spans="1:48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5"/>
      <c r="Y22" s="5"/>
      <c r="Z22" s="5"/>
      <c r="AA22" s="5"/>
    </row>
    <row r="23" spans="1:48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5"/>
      <c r="Y23" s="5"/>
      <c r="Z23" s="5"/>
      <c r="AA23" s="5"/>
    </row>
    <row r="24" spans="1:48" ht="15.75" customHeight="1" x14ac:dyDescent="0.25">
      <c r="A24" s="6" t="s">
        <v>41</v>
      </c>
      <c r="B24" s="9">
        <f>AVERAGE(B4:B18)</f>
        <v>40</v>
      </c>
      <c r="C24" s="9">
        <f t="shared" ref="C24:Y24" si="17">AVERAGE(C4:C18)</f>
        <v>8041.666666666667</v>
      </c>
      <c r="D24" s="9">
        <f t="shared" si="17"/>
        <v>0.44083333333333341</v>
      </c>
      <c r="E24" s="9">
        <f t="shared" si="17"/>
        <v>13.333333333333334</v>
      </c>
      <c r="F24" s="9"/>
      <c r="G24" s="9">
        <f t="shared" si="17"/>
        <v>0.67641666666666656</v>
      </c>
      <c r="H24" s="9">
        <f t="shared" si="17"/>
        <v>0.21533333333333338</v>
      </c>
      <c r="I24" s="9">
        <f t="shared" si="17"/>
        <v>0.2426666666666667</v>
      </c>
      <c r="J24" s="9">
        <f t="shared" si="17"/>
        <v>0.12175000000000001</v>
      </c>
      <c r="K24" s="9">
        <f t="shared" si="17"/>
        <v>9.6749999999999989E-2</v>
      </c>
      <c r="L24" s="9">
        <f t="shared" si="17"/>
        <v>0.32358333333333333</v>
      </c>
      <c r="M24" s="9"/>
      <c r="N24" s="9">
        <f t="shared" si="17"/>
        <v>0.48608333333333337</v>
      </c>
      <c r="O24" s="9">
        <f t="shared" si="17"/>
        <v>0.65866666666666662</v>
      </c>
      <c r="P24" s="9">
        <f t="shared" si="17"/>
        <v>0.43191666666666667</v>
      </c>
      <c r="Q24" s="9">
        <f t="shared" si="17"/>
        <v>0.39108333333333328</v>
      </c>
      <c r="R24" s="9">
        <f t="shared" si="17"/>
        <v>0.35391666666666666</v>
      </c>
      <c r="S24" s="9">
        <f t="shared" si="17"/>
        <v>0.34649999999999997</v>
      </c>
      <c r="T24" s="9"/>
      <c r="U24" s="9">
        <f t="shared" si="17"/>
        <v>0.58574999999999999</v>
      </c>
      <c r="V24" s="9">
        <f t="shared" si="17"/>
        <v>0.87258333333333338</v>
      </c>
      <c r="W24" s="9"/>
      <c r="X24" s="9">
        <f t="shared" si="17"/>
        <v>0.18933333333333333</v>
      </c>
      <c r="Y24" s="9">
        <f t="shared" si="17"/>
        <v>0.38008333333333338</v>
      </c>
      <c r="Z24" s="5"/>
      <c r="AA24" s="5"/>
    </row>
    <row r="25" spans="1:48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5"/>
      <c r="Y25" s="5"/>
      <c r="Z25" s="5"/>
      <c r="AA25" s="5"/>
    </row>
    <row r="26" spans="1:48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5"/>
      <c r="Y26" s="5"/>
      <c r="Z26" s="5"/>
      <c r="AA26" s="5"/>
    </row>
    <row r="27" spans="1:48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5"/>
      <c r="Y27" s="5"/>
      <c r="Z27" s="5"/>
      <c r="AA27" s="5"/>
    </row>
    <row r="28" spans="1:48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5"/>
      <c r="Y28" s="5"/>
      <c r="Z28" s="5"/>
      <c r="AA28" s="5"/>
    </row>
    <row r="29" spans="1:48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5"/>
      <c r="Y29" s="5"/>
      <c r="Z29" s="5"/>
      <c r="AA29" s="5"/>
    </row>
    <row r="30" spans="1:48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5"/>
      <c r="Y30" s="5"/>
      <c r="Z30" s="5"/>
      <c r="AA30" s="5"/>
    </row>
    <row r="31" spans="1:48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5"/>
      <c r="Y31" s="5"/>
      <c r="Z31" s="5"/>
      <c r="AA31" s="5"/>
    </row>
    <row r="32" spans="1:48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5"/>
      <c r="Y32" s="5"/>
      <c r="Z32" s="5"/>
      <c r="AA32" s="5"/>
    </row>
    <row r="33" spans="1:27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5"/>
      <c r="Y33" s="5"/>
      <c r="Z33" s="5"/>
      <c r="AA33" s="5"/>
    </row>
    <row r="34" spans="1:27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5"/>
      <c r="Y34" s="5"/>
      <c r="Z34" s="5"/>
      <c r="AA34" s="5"/>
    </row>
    <row r="35" spans="1:27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5"/>
      <c r="Y35" s="5"/>
      <c r="Z35" s="5"/>
      <c r="AA35" s="5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5"/>
      <c r="Y36" s="5"/>
      <c r="Z36" s="5"/>
      <c r="AA36" s="5"/>
    </row>
    <row r="37" spans="1:27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5"/>
      <c r="Y37" s="5"/>
      <c r="Z37" s="5"/>
      <c r="AA37" s="5"/>
    </row>
    <row r="38" spans="1:27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5"/>
      <c r="Y38" s="5"/>
      <c r="Z38" s="5"/>
      <c r="AA38" s="5"/>
    </row>
    <row r="39" spans="1:27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5"/>
      <c r="Y39" s="5"/>
      <c r="Z39" s="5"/>
      <c r="AA39" s="5"/>
    </row>
    <row r="40" spans="1:27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5"/>
      <c r="Y40" s="5"/>
      <c r="Z40" s="5"/>
      <c r="AA40" s="5"/>
    </row>
    <row r="41" spans="1:27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5"/>
      <c r="Y41" s="5"/>
      <c r="Z41" s="5"/>
      <c r="AA41" s="5"/>
    </row>
    <row r="42" spans="1:27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5"/>
      <c r="Y42" s="5"/>
      <c r="Z42" s="5"/>
      <c r="AA42" s="5"/>
    </row>
    <row r="43" spans="1:27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5"/>
      <c r="Y43" s="5"/>
      <c r="Z43" s="5"/>
      <c r="AA43" s="5"/>
    </row>
    <row r="44" spans="1:27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5"/>
      <c r="Y44" s="5"/>
      <c r="Z44" s="5"/>
      <c r="AA44" s="5"/>
    </row>
    <row r="45" spans="1:27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5"/>
      <c r="Y45" s="5"/>
      <c r="Z45" s="5"/>
      <c r="AA45" s="5"/>
    </row>
    <row r="46" spans="1:27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5"/>
      <c r="Y46" s="5"/>
      <c r="Z46" s="5"/>
      <c r="AA46" s="5"/>
    </row>
    <row r="47" spans="1:27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5"/>
      <c r="Y47" s="5"/>
      <c r="Z47" s="5"/>
      <c r="AA47" s="5"/>
    </row>
    <row r="48" spans="1:27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5"/>
      <c r="Y48" s="5"/>
      <c r="Z48" s="5"/>
      <c r="AA48" s="5"/>
    </row>
    <row r="49" spans="1:27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5"/>
      <c r="Y49" s="5"/>
      <c r="Z49" s="5"/>
      <c r="AA49" s="5"/>
    </row>
    <row r="50" spans="1:27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5"/>
      <c r="Y50" s="5"/>
      <c r="Z50" s="5"/>
      <c r="AA50" s="5"/>
    </row>
    <row r="51" spans="1:27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5"/>
      <c r="Y51" s="5"/>
      <c r="Z51" s="5"/>
      <c r="AA51" s="5"/>
    </row>
    <row r="52" spans="1:27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5"/>
      <c r="Y52" s="5"/>
      <c r="Z52" s="5"/>
      <c r="AA52" s="5"/>
    </row>
    <row r="53" spans="1:27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5"/>
      <c r="Y53" s="5"/>
      <c r="Z53" s="5"/>
      <c r="AA53" s="5"/>
    </row>
    <row r="54" spans="1:27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5"/>
      <c r="Y54" s="5"/>
      <c r="Z54" s="5"/>
      <c r="AA54" s="5"/>
    </row>
    <row r="55" spans="1:27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5"/>
      <c r="Y55" s="5"/>
      <c r="Z55" s="5"/>
      <c r="AA55" s="5"/>
    </row>
    <row r="56" spans="1:27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5"/>
      <c r="Y56" s="5"/>
      <c r="Z56" s="5"/>
      <c r="AA56" s="5"/>
    </row>
    <row r="57" spans="1:27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"/>
      <c r="Y57" s="5"/>
      <c r="Z57" s="5"/>
      <c r="AA57" s="5"/>
    </row>
    <row r="58" spans="1:27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5"/>
      <c r="Y58" s="5"/>
      <c r="Z58" s="5"/>
      <c r="AA58" s="5"/>
    </row>
    <row r="59" spans="1:27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5"/>
      <c r="Y59" s="5"/>
      <c r="Z59" s="5"/>
      <c r="AA59" s="5"/>
    </row>
    <row r="60" spans="1:27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5"/>
      <c r="Y60" s="5"/>
      <c r="Z60" s="5"/>
      <c r="AA60" s="5"/>
    </row>
    <row r="61" spans="1:27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5"/>
      <c r="Y61" s="5"/>
      <c r="Z61" s="5"/>
      <c r="AA61" s="5"/>
    </row>
    <row r="62" spans="1:27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5"/>
      <c r="Y62" s="5"/>
      <c r="Z62" s="5"/>
      <c r="AA62" s="5"/>
    </row>
    <row r="63" spans="1:27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"/>
      <c r="Y63" s="5"/>
      <c r="Z63" s="5"/>
      <c r="AA63" s="5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5"/>
      <c r="Y64" s="5"/>
      <c r="Z64" s="5"/>
      <c r="AA64" s="5"/>
    </row>
    <row r="65" spans="1:27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5"/>
      <c r="Y65" s="5"/>
      <c r="Z65" s="5"/>
      <c r="AA65" s="5"/>
    </row>
    <row r="66" spans="1:27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"/>
      <c r="Y66" s="5"/>
      <c r="Z66" s="5"/>
      <c r="AA66" s="5"/>
    </row>
    <row r="67" spans="1:27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"/>
      <c r="Y67" s="5"/>
      <c r="Z67" s="5"/>
      <c r="AA67" s="5"/>
    </row>
    <row r="68" spans="1:27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5"/>
      <c r="Y68" s="5"/>
      <c r="Z68" s="5"/>
      <c r="AA68" s="5"/>
    </row>
    <row r="69" spans="1:27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"/>
      <c r="Y69" s="5"/>
      <c r="Z69" s="5"/>
      <c r="AA69" s="5"/>
    </row>
    <row r="70" spans="1:27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"/>
      <c r="Y70" s="5"/>
      <c r="Z70" s="5"/>
      <c r="AA70" s="5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5"/>
      <c r="Y71" s="5"/>
      <c r="Z71" s="5"/>
      <c r="AA71" s="5"/>
    </row>
    <row r="72" spans="1:27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5"/>
      <c r="Y72" s="5"/>
      <c r="Z72" s="5"/>
      <c r="AA72" s="5"/>
    </row>
    <row r="73" spans="1:27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"/>
      <c r="Y73" s="5"/>
      <c r="Z73" s="5"/>
      <c r="AA73" s="5"/>
    </row>
    <row r="74" spans="1:27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5"/>
      <c r="Y74" s="5"/>
      <c r="Z74" s="5"/>
      <c r="AA74" s="5"/>
    </row>
    <row r="75" spans="1:27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5"/>
      <c r="Y75" s="5"/>
      <c r="Z75" s="5"/>
      <c r="AA75" s="5"/>
    </row>
    <row r="76" spans="1:27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"/>
      <c r="Y76" s="5"/>
      <c r="Z76" s="5"/>
      <c r="AA76" s="5"/>
    </row>
    <row r="77" spans="1:27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5"/>
      <c r="Y77" s="5"/>
      <c r="Z77" s="5"/>
      <c r="AA77" s="5"/>
    </row>
    <row r="78" spans="1:27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5"/>
      <c r="Y78" s="5"/>
      <c r="Z78" s="5"/>
      <c r="AA78" s="5"/>
    </row>
    <row r="79" spans="1:27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5"/>
      <c r="Y79" s="5"/>
      <c r="Z79" s="5"/>
      <c r="AA79" s="5"/>
    </row>
    <row r="80" spans="1:27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5"/>
      <c r="Y80" s="5"/>
      <c r="Z80" s="5"/>
      <c r="AA80" s="5"/>
    </row>
    <row r="81" spans="1:27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5"/>
      <c r="Y81" s="5"/>
      <c r="Z81" s="5"/>
      <c r="AA81" s="5"/>
    </row>
    <row r="82" spans="1:27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5"/>
      <c r="Y82" s="5"/>
      <c r="Z82" s="5"/>
      <c r="AA82" s="5"/>
    </row>
    <row r="83" spans="1:27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5"/>
      <c r="Y83" s="5"/>
      <c r="Z83" s="5"/>
      <c r="AA83" s="5"/>
    </row>
    <row r="84" spans="1:27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5"/>
      <c r="Y84" s="5"/>
      <c r="Z84" s="5"/>
      <c r="AA84" s="5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5"/>
      <c r="Y85" s="5"/>
      <c r="Z85" s="5"/>
      <c r="AA85" s="5"/>
    </row>
    <row r="86" spans="1:27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5"/>
      <c r="Y86" s="5"/>
      <c r="Z86" s="5"/>
      <c r="AA86" s="5"/>
    </row>
    <row r="87" spans="1:27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5"/>
      <c r="Y87" s="5"/>
      <c r="Z87" s="5"/>
      <c r="AA87" s="5"/>
    </row>
    <row r="88" spans="1:27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5"/>
      <c r="Y88" s="5"/>
      <c r="Z88" s="5"/>
      <c r="AA88" s="5"/>
    </row>
    <row r="89" spans="1:27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5"/>
      <c r="Y89" s="5"/>
      <c r="Z89" s="5"/>
      <c r="AA89" s="5"/>
    </row>
    <row r="90" spans="1:27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5"/>
      <c r="Y90" s="5"/>
      <c r="Z90" s="5"/>
      <c r="AA90" s="5"/>
    </row>
    <row r="91" spans="1:27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5"/>
      <c r="Y91" s="5"/>
      <c r="Z91" s="5"/>
      <c r="AA91" s="5"/>
    </row>
    <row r="92" spans="1:27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5"/>
      <c r="Y92" s="5"/>
      <c r="Z92" s="5"/>
      <c r="AA92" s="5"/>
    </row>
    <row r="93" spans="1:27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5"/>
      <c r="Y93" s="5"/>
      <c r="Z93" s="5"/>
      <c r="AA93" s="5"/>
    </row>
    <row r="94" spans="1:27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5"/>
      <c r="Y94" s="5"/>
      <c r="Z94" s="5"/>
      <c r="AA94" s="5"/>
    </row>
    <row r="95" spans="1:27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5"/>
      <c r="Y95" s="5"/>
      <c r="Z95" s="5"/>
      <c r="AA95" s="5"/>
    </row>
    <row r="96" spans="1:27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5"/>
      <c r="Y96" s="5"/>
      <c r="Z96" s="5"/>
      <c r="AA96" s="5"/>
    </row>
    <row r="97" spans="1:27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5"/>
      <c r="Y97" s="5"/>
      <c r="Z97" s="5"/>
      <c r="AA97" s="5"/>
    </row>
    <row r="98" spans="1:27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5"/>
      <c r="Y98" s="5"/>
      <c r="Z98" s="5"/>
      <c r="AA98" s="5"/>
    </row>
    <row r="99" spans="1:27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5"/>
      <c r="Y99" s="5"/>
      <c r="Z99" s="5"/>
      <c r="AA99" s="5"/>
    </row>
    <row r="100" spans="1:27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5"/>
      <c r="Y100" s="5"/>
      <c r="Z100" s="5"/>
      <c r="AA100" s="5"/>
    </row>
    <row r="101" spans="1:27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5"/>
      <c r="Y101" s="5"/>
      <c r="Z101" s="5"/>
      <c r="AA101" s="5"/>
    </row>
    <row r="102" spans="1:27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5"/>
      <c r="Y102" s="5"/>
      <c r="Z102" s="5"/>
      <c r="AA102" s="5"/>
    </row>
    <row r="103" spans="1:27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5"/>
      <c r="Y103" s="5"/>
      <c r="Z103" s="5"/>
      <c r="AA103" s="5"/>
    </row>
    <row r="104" spans="1:27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"/>
      <c r="Y104" s="5"/>
      <c r="Z104" s="5"/>
      <c r="AA104" s="5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5"/>
      <c r="Y105" s="5"/>
      <c r="Z105" s="5"/>
      <c r="AA105" s="5"/>
    </row>
    <row r="106" spans="1:27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5"/>
      <c r="Y106" s="5"/>
      <c r="Z106" s="5"/>
      <c r="AA106" s="5"/>
    </row>
    <row r="107" spans="1:27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5"/>
      <c r="Y107" s="5"/>
      <c r="Z107" s="5"/>
      <c r="AA107" s="5"/>
    </row>
    <row r="108" spans="1:27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5"/>
      <c r="Y108" s="5"/>
      <c r="Z108" s="5"/>
      <c r="AA108" s="5"/>
    </row>
    <row r="109" spans="1:27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5"/>
      <c r="Y109" s="5"/>
      <c r="Z109" s="5"/>
      <c r="AA109" s="5"/>
    </row>
    <row r="110" spans="1:27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5"/>
      <c r="Y110" s="5"/>
      <c r="Z110" s="5"/>
      <c r="AA110" s="5"/>
    </row>
    <row r="111" spans="1:27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5"/>
      <c r="Y111" s="5"/>
      <c r="Z111" s="5"/>
      <c r="AA111" s="5"/>
    </row>
    <row r="112" spans="1:27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5"/>
      <c r="Y112" s="5"/>
      <c r="Z112" s="5"/>
      <c r="AA112" s="5"/>
    </row>
    <row r="113" spans="1:27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5"/>
      <c r="Y113" s="5"/>
      <c r="Z113" s="5"/>
      <c r="AA113" s="5"/>
    </row>
    <row r="114" spans="1:27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5"/>
      <c r="Y114" s="5"/>
      <c r="Z114" s="5"/>
      <c r="AA114" s="5"/>
    </row>
    <row r="115" spans="1:27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5"/>
      <c r="Y115" s="5"/>
      <c r="Z115" s="5"/>
      <c r="AA115" s="5"/>
    </row>
    <row r="116" spans="1:27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5"/>
      <c r="Y116" s="5"/>
      <c r="Z116" s="5"/>
      <c r="AA116" s="5"/>
    </row>
    <row r="117" spans="1:27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5"/>
      <c r="Y117" s="5"/>
      <c r="Z117" s="5"/>
      <c r="AA117" s="5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5"/>
      <c r="Y118" s="5"/>
      <c r="Z118" s="5"/>
      <c r="AA118" s="5"/>
    </row>
    <row r="119" spans="1:27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5"/>
      <c r="Y119" s="5"/>
      <c r="Z119" s="5"/>
      <c r="AA119" s="5"/>
    </row>
    <row r="120" spans="1:27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5"/>
      <c r="Y120" s="5"/>
      <c r="Z120" s="5"/>
      <c r="AA120" s="5"/>
    </row>
    <row r="121" spans="1:27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5"/>
      <c r="Y121" s="5"/>
      <c r="Z121" s="5"/>
      <c r="AA121" s="5"/>
    </row>
    <row r="122" spans="1:27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5"/>
      <c r="Y122" s="5"/>
      <c r="Z122" s="5"/>
      <c r="AA122" s="5"/>
    </row>
    <row r="123" spans="1:27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5"/>
      <c r="Y123" s="5"/>
      <c r="Z123" s="5"/>
      <c r="AA123" s="5"/>
    </row>
    <row r="124" spans="1:27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5"/>
      <c r="Y124" s="5"/>
      <c r="Z124" s="5"/>
      <c r="AA124" s="5"/>
    </row>
    <row r="125" spans="1:27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5"/>
      <c r="Y125" s="5"/>
      <c r="Z125" s="5"/>
      <c r="AA125" s="5"/>
    </row>
    <row r="126" spans="1:27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5"/>
      <c r="Y126" s="5"/>
      <c r="Z126" s="5"/>
      <c r="AA126" s="5"/>
    </row>
    <row r="127" spans="1:27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5"/>
      <c r="Y127" s="5"/>
      <c r="Z127" s="5"/>
      <c r="AA127" s="5"/>
    </row>
    <row r="128" spans="1:27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5"/>
      <c r="Y128" s="5"/>
      <c r="Z128" s="5"/>
      <c r="AA128" s="5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5"/>
      <c r="Y129" s="5"/>
      <c r="Z129" s="5"/>
      <c r="AA129" s="5"/>
    </row>
    <row r="130" spans="1:27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5"/>
      <c r="Y130" s="5"/>
      <c r="Z130" s="5"/>
      <c r="AA130" s="5"/>
    </row>
    <row r="131" spans="1:27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5"/>
      <c r="Y131" s="5"/>
      <c r="Z131" s="5"/>
      <c r="AA131" s="5"/>
    </row>
    <row r="132" spans="1:27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5"/>
      <c r="Y132" s="5"/>
      <c r="Z132" s="5"/>
      <c r="AA132" s="5"/>
    </row>
    <row r="133" spans="1:27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5"/>
      <c r="Y133" s="5"/>
      <c r="Z133" s="5"/>
      <c r="AA133" s="5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5"/>
      <c r="Y134" s="5"/>
      <c r="Z134" s="5"/>
      <c r="AA134" s="5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5"/>
      <c r="Y135" s="5"/>
      <c r="Z135" s="5"/>
      <c r="AA135" s="5"/>
    </row>
    <row r="136" spans="1:27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5"/>
      <c r="Y136" s="5"/>
      <c r="Z136" s="5"/>
      <c r="AA136" s="5"/>
    </row>
    <row r="137" spans="1:27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5"/>
      <c r="Y137" s="5"/>
      <c r="Z137" s="5"/>
      <c r="AA137" s="5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5"/>
      <c r="Y138" s="5"/>
      <c r="Z138" s="5"/>
      <c r="AA138" s="5"/>
    </row>
    <row r="139" spans="1:27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5"/>
      <c r="Y139" s="5"/>
      <c r="Z139" s="5"/>
      <c r="AA139" s="5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5"/>
      <c r="Y140" s="5"/>
      <c r="Z140" s="5"/>
      <c r="AA140" s="5"/>
    </row>
    <row r="141" spans="1:27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5"/>
      <c r="Y141" s="5"/>
      <c r="Z141" s="5"/>
      <c r="AA141" s="5"/>
    </row>
    <row r="142" spans="1:27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5"/>
      <c r="Y142" s="5"/>
      <c r="Z142" s="5"/>
      <c r="AA142" s="5"/>
    </row>
    <row r="143" spans="1:27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5"/>
      <c r="Y143" s="5"/>
      <c r="Z143" s="5"/>
      <c r="AA143" s="5"/>
    </row>
    <row r="144" spans="1:27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5"/>
      <c r="Y144" s="5"/>
      <c r="Z144" s="5"/>
      <c r="AA144" s="5"/>
    </row>
    <row r="145" spans="1:27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5"/>
      <c r="Y145" s="5"/>
      <c r="Z145" s="5"/>
      <c r="AA145" s="5"/>
    </row>
    <row r="146" spans="1:27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5"/>
      <c r="Y146" s="5"/>
      <c r="Z146" s="5"/>
      <c r="AA146" s="5"/>
    </row>
    <row r="147" spans="1:27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5"/>
      <c r="Y147" s="5"/>
      <c r="Z147" s="5"/>
      <c r="AA147" s="5"/>
    </row>
    <row r="148" spans="1:27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5"/>
      <c r="Y148" s="5"/>
      <c r="Z148" s="5"/>
      <c r="AA148" s="5"/>
    </row>
    <row r="149" spans="1:27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5"/>
      <c r="Y149" s="5"/>
      <c r="Z149" s="5"/>
      <c r="AA149" s="5"/>
    </row>
    <row r="150" spans="1:27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5"/>
      <c r="Y150" s="5"/>
      <c r="Z150" s="5"/>
      <c r="AA150" s="5"/>
    </row>
    <row r="151" spans="1:27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5"/>
      <c r="Y151" s="5"/>
      <c r="Z151" s="5"/>
      <c r="AA151" s="5"/>
    </row>
    <row r="152" spans="1:27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5"/>
      <c r="Y152" s="5"/>
      <c r="Z152" s="5"/>
      <c r="AA152" s="5"/>
    </row>
    <row r="153" spans="1:27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5"/>
      <c r="Y153" s="5"/>
      <c r="Z153" s="5"/>
      <c r="AA153" s="5"/>
    </row>
    <row r="154" spans="1:27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5"/>
      <c r="Y154" s="5"/>
      <c r="Z154" s="5"/>
      <c r="AA154" s="5"/>
    </row>
    <row r="155" spans="1:27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5"/>
      <c r="Y155" s="5"/>
      <c r="Z155" s="5"/>
      <c r="AA155" s="5"/>
    </row>
    <row r="156" spans="1:27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5"/>
      <c r="Y156" s="5"/>
      <c r="Z156" s="5"/>
      <c r="AA156" s="5"/>
    </row>
    <row r="157" spans="1:27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5"/>
      <c r="Y157" s="5"/>
      <c r="Z157" s="5"/>
      <c r="AA157" s="5"/>
    </row>
    <row r="158" spans="1:27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5"/>
      <c r="Y158" s="5"/>
      <c r="Z158" s="5"/>
      <c r="AA158" s="5"/>
    </row>
    <row r="159" spans="1:27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5"/>
      <c r="Y159" s="5"/>
      <c r="Z159" s="5"/>
      <c r="AA159" s="5"/>
    </row>
    <row r="160" spans="1:27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5"/>
      <c r="Y160" s="5"/>
      <c r="Z160" s="5"/>
      <c r="AA160" s="5"/>
    </row>
    <row r="161" spans="1:27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5"/>
      <c r="Y161" s="5"/>
      <c r="Z161" s="5"/>
      <c r="AA161" s="5"/>
    </row>
    <row r="162" spans="1:27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5"/>
      <c r="Y162" s="5"/>
      <c r="Z162" s="5"/>
      <c r="AA162" s="5"/>
    </row>
    <row r="163" spans="1:27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5"/>
      <c r="Y163" s="5"/>
      <c r="Z163" s="5"/>
      <c r="AA163" s="5"/>
    </row>
    <row r="164" spans="1:27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5"/>
      <c r="Y164" s="5"/>
      <c r="Z164" s="5"/>
      <c r="AA164" s="5"/>
    </row>
    <row r="165" spans="1:27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5"/>
      <c r="Y165" s="5"/>
      <c r="Z165" s="5"/>
      <c r="AA165" s="5"/>
    </row>
    <row r="166" spans="1:27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5"/>
      <c r="Y166" s="5"/>
      <c r="Z166" s="5"/>
      <c r="AA166" s="5"/>
    </row>
    <row r="167" spans="1:27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"/>
      <c r="Y167" s="5"/>
      <c r="Z167" s="5"/>
      <c r="AA167" s="5"/>
    </row>
    <row r="168" spans="1:27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5"/>
      <c r="Y168" s="5"/>
      <c r="Z168" s="5"/>
      <c r="AA168" s="5"/>
    </row>
    <row r="169" spans="1:27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5"/>
      <c r="Y169" s="5"/>
      <c r="Z169" s="5"/>
      <c r="AA169" s="5"/>
    </row>
    <row r="170" spans="1:27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5"/>
      <c r="Y170" s="5"/>
      <c r="Z170" s="5"/>
      <c r="AA170" s="5"/>
    </row>
    <row r="171" spans="1:27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5"/>
      <c r="Y171" s="5"/>
      <c r="Z171" s="5"/>
      <c r="AA171" s="5"/>
    </row>
    <row r="172" spans="1:27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5"/>
      <c r="Y172" s="5"/>
      <c r="Z172" s="5"/>
      <c r="AA172" s="5"/>
    </row>
    <row r="173" spans="1:27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5"/>
      <c r="Y173" s="5"/>
      <c r="Z173" s="5"/>
      <c r="AA173" s="5"/>
    </row>
    <row r="174" spans="1:27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5"/>
      <c r="Y174" s="5"/>
      <c r="Z174" s="5"/>
      <c r="AA174" s="5"/>
    </row>
    <row r="175" spans="1:27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5"/>
      <c r="Y175" s="5"/>
      <c r="Z175" s="5"/>
      <c r="AA175" s="5"/>
    </row>
    <row r="176" spans="1:27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5"/>
      <c r="Y176" s="5"/>
      <c r="Z176" s="5"/>
      <c r="AA176" s="5"/>
    </row>
    <row r="177" spans="1:27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5"/>
      <c r="Y177" s="5"/>
      <c r="Z177" s="5"/>
      <c r="AA177" s="5"/>
    </row>
    <row r="178" spans="1:27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5"/>
      <c r="Y178" s="5"/>
      <c r="Z178" s="5"/>
      <c r="AA178" s="5"/>
    </row>
    <row r="179" spans="1:27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5"/>
      <c r="Y179" s="5"/>
      <c r="Z179" s="5"/>
      <c r="AA179" s="5"/>
    </row>
    <row r="180" spans="1:27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5"/>
      <c r="Y180" s="5"/>
      <c r="Z180" s="5"/>
      <c r="AA180" s="5"/>
    </row>
    <row r="181" spans="1:27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5"/>
      <c r="Y181" s="5"/>
      <c r="Z181" s="5"/>
      <c r="AA181" s="5"/>
    </row>
    <row r="182" spans="1:27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5"/>
      <c r="Y182" s="5"/>
      <c r="Z182" s="5"/>
      <c r="AA182" s="5"/>
    </row>
    <row r="183" spans="1:27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5"/>
      <c r="Y183" s="5"/>
      <c r="Z183" s="5"/>
      <c r="AA183" s="5"/>
    </row>
    <row r="184" spans="1:27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5"/>
      <c r="Y184" s="5"/>
      <c r="Z184" s="5"/>
      <c r="AA184" s="5"/>
    </row>
    <row r="185" spans="1:27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5"/>
      <c r="Y185" s="5"/>
      <c r="Z185" s="5"/>
      <c r="AA185" s="5"/>
    </row>
    <row r="186" spans="1:27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5"/>
      <c r="Y186" s="5"/>
      <c r="Z186" s="5"/>
      <c r="AA186" s="5"/>
    </row>
    <row r="187" spans="1:27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5"/>
      <c r="Y187" s="5"/>
      <c r="Z187" s="5"/>
      <c r="AA187" s="5"/>
    </row>
    <row r="188" spans="1:27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5"/>
      <c r="Y188" s="5"/>
      <c r="Z188" s="5"/>
      <c r="AA188" s="5"/>
    </row>
    <row r="189" spans="1:27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5"/>
      <c r="Y189" s="5"/>
      <c r="Z189" s="5"/>
      <c r="AA189" s="5"/>
    </row>
    <row r="190" spans="1:27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5"/>
      <c r="Y190" s="5"/>
      <c r="Z190" s="5"/>
      <c r="AA190" s="5"/>
    </row>
    <row r="191" spans="1:27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5"/>
      <c r="Y191" s="5"/>
      <c r="Z191" s="5"/>
      <c r="AA191" s="5"/>
    </row>
    <row r="192" spans="1:27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5"/>
      <c r="Y192" s="5"/>
      <c r="Z192" s="5"/>
      <c r="AA192" s="5"/>
    </row>
    <row r="193" spans="1:27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5"/>
      <c r="Y193" s="5"/>
      <c r="Z193" s="5"/>
      <c r="AA193" s="5"/>
    </row>
    <row r="194" spans="1:27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5"/>
      <c r="Y194" s="5"/>
      <c r="Z194" s="5"/>
      <c r="AA194" s="5"/>
    </row>
    <row r="195" spans="1:27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5"/>
      <c r="Y195" s="5"/>
      <c r="Z195" s="5"/>
      <c r="AA195" s="5"/>
    </row>
    <row r="196" spans="1:27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5"/>
      <c r="Y196" s="5"/>
      <c r="Z196" s="5"/>
      <c r="AA196" s="5"/>
    </row>
    <row r="197" spans="1:27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5"/>
      <c r="Y197" s="5"/>
      <c r="Z197" s="5"/>
      <c r="AA197" s="5"/>
    </row>
    <row r="198" spans="1:27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5"/>
      <c r="Y198" s="5"/>
      <c r="Z198" s="5"/>
      <c r="AA198" s="5"/>
    </row>
    <row r="199" spans="1:27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5"/>
      <c r="Y199" s="5"/>
      <c r="Z199" s="5"/>
      <c r="AA199" s="5"/>
    </row>
    <row r="200" spans="1:27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5"/>
      <c r="Z200" s="5"/>
      <c r="AA200" s="5"/>
    </row>
    <row r="201" spans="1:27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5"/>
      <c r="Z201" s="5"/>
      <c r="AA201" s="5"/>
    </row>
    <row r="202" spans="1:27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5"/>
      <c r="Z202" s="5"/>
      <c r="AA202" s="5"/>
    </row>
    <row r="203" spans="1:27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5"/>
      <c r="Z203" s="5"/>
      <c r="AA203" s="5"/>
    </row>
    <row r="204" spans="1:27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5"/>
      <c r="Z204" s="5"/>
      <c r="AA204" s="5"/>
    </row>
    <row r="205" spans="1:27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5"/>
      <c r="Z205" s="5"/>
      <c r="AA205" s="5"/>
    </row>
    <row r="206" spans="1:27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5"/>
      <c r="Z206" s="5"/>
      <c r="AA206" s="5"/>
    </row>
    <row r="207" spans="1:27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5"/>
      <c r="Z207" s="5"/>
      <c r="AA207" s="5"/>
    </row>
    <row r="208" spans="1:27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5"/>
      <c r="AA208" s="5"/>
    </row>
    <row r="209" spans="1:27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5"/>
      <c r="Z209" s="5"/>
      <c r="AA209" s="5"/>
    </row>
    <row r="210" spans="1:27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5"/>
      <c r="Z210" s="5"/>
      <c r="AA210" s="5"/>
    </row>
    <row r="211" spans="1:27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5"/>
      <c r="Z211" s="5"/>
      <c r="AA211" s="5"/>
    </row>
    <row r="212" spans="1:27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5"/>
      <c r="Z212" s="5"/>
      <c r="AA212" s="5"/>
    </row>
    <row r="213" spans="1:27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5"/>
      <c r="Z213" s="5"/>
      <c r="AA213" s="5"/>
    </row>
    <row r="214" spans="1:27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5"/>
      <c r="Z214" s="5"/>
      <c r="AA214" s="5"/>
    </row>
    <row r="215" spans="1:27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5"/>
      <c r="Z215" s="5"/>
      <c r="AA215" s="5"/>
    </row>
    <row r="216" spans="1:27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5"/>
      <c r="Z216" s="5"/>
      <c r="AA216" s="5"/>
    </row>
    <row r="217" spans="1:27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5"/>
      <c r="Z217" s="5"/>
      <c r="AA217" s="5"/>
    </row>
    <row r="218" spans="1:27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5"/>
      <c r="Z218" s="5"/>
      <c r="AA218" s="5"/>
    </row>
    <row r="219" spans="1:27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5"/>
      <c r="Z219" s="5"/>
      <c r="AA219" s="5"/>
    </row>
    <row r="220" spans="1:27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5"/>
      <c r="Z220" s="5"/>
      <c r="AA220" s="5"/>
    </row>
    <row r="221" spans="1:27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5"/>
      <c r="Z221" s="5"/>
      <c r="AA221" s="5"/>
    </row>
    <row r="222" spans="1:27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5"/>
      <c r="Z222" s="5"/>
      <c r="AA222" s="5"/>
    </row>
    <row r="223" spans="1:27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5"/>
      <c r="Z223" s="5"/>
      <c r="AA223" s="5"/>
    </row>
    <row r="224" spans="1:27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5"/>
      <c r="Z224" s="5"/>
      <c r="AA224" s="5"/>
    </row>
    <row r="225" spans="1:27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5"/>
      <c r="Z225" s="5"/>
      <c r="AA225" s="5"/>
    </row>
    <row r="226" spans="1:27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5"/>
      <c r="Z226" s="5"/>
      <c r="AA226" s="5"/>
    </row>
    <row r="227" spans="1:27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5"/>
      <c r="Z227" s="5"/>
      <c r="AA227" s="5"/>
    </row>
    <row r="228" spans="1:27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5"/>
      <c r="Z228" s="5"/>
      <c r="AA228" s="5"/>
    </row>
    <row r="229" spans="1:27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5"/>
      <c r="Z229" s="5"/>
      <c r="AA229" s="5"/>
    </row>
    <row r="230" spans="1:27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5"/>
      <c r="Z230" s="5"/>
      <c r="AA230" s="5"/>
    </row>
    <row r="231" spans="1:27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5"/>
      <c r="Z231" s="5"/>
      <c r="AA231" s="5"/>
    </row>
    <row r="232" spans="1:27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5"/>
      <c r="Z232" s="5"/>
      <c r="AA232" s="5"/>
    </row>
    <row r="233" spans="1:27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5"/>
      <c r="Z233" s="5"/>
      <c r="AA233" s="5"/>
    </row>
    <row r="234" spans="1:27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5"/>
      <c r="Z234" s="5"/>
      <c r="AA234" s="5"/>
    </row>
    <row r="235" spans="1:27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5"/>
      <c r="Z235" s="5"/>
      <c r="AA235" s="5"/>
    </row>
    <row r="236" spans="1:27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5"/>
      <c r="Z236" s="5"/>
      <c r="AA236" s="5"/>
    </row>
    <row r="237" spans="1:27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5"/>
      <c r="Z237" s="5"/>
      <c r="AA237" s="5"/>
    </row>
    <row r="238" spans="1:27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5"/>
      <c r="Z238" s="5"/>
      <c r="AA238" s="5"/>
    </row>
    <row r="239" spans="1:27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5"/>
      <c r="Z239" s="5"/>
      <c r="AA239" s="5"/>
    </row>
    <row r="240" spans="1:27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5"/>
      <c r="Z240" s="5"/>
      <c r="AA240" s="5"/>
    </row>
    <row r="241" spans="1:27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5"/>
      <c r="Z241" s="5"/>
      <c r="AA241" s="5"/>
    </row>
    <row r="242" spans="1:27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5"/>
      <c r="Z242" s="5"/>
      <c r="AA242" s="5"/>
    </row>
    <row r="243" spans="1:27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5"/>
      <c r="Z243" s="5"/>
      <c r="AA243" s="5"/>
    </row>
    <row r="244" spans="1:27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5"/>
      <c r="Z244" s="5"/>
      <c r="AA244" s="5"/>
    </row>
    <row r="245" spans="1:27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5"/>
      <c r="Z245" s="5"/>
      <c r="AA245" s="5"/>
    </row>
    <row r="246" spans="1:27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5"/>
      <c r="Z246" s="5"/>
      <c r="AA246" s="5"/>
    </row>
    <row r="247" spans="1:27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5"/>
      <c r="Z247" s="5"/>
      <c r="AA247" s="5"/>
    </row>
    <row r="248" spans="1:27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5"/>
      <c r="Z248" s="5"/>
      <c r="AA248" s="5"/>
    </row>
    <row r="249" spans="1:27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5"/>
      <c r="Z249" s="5"/>
      <c r="AA249" s="5"/>
    </row>
    <row r="250" spans="1:27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5"/>
      <c r="Z250" s="5"/>
      <c r="AA250" s="5"/>
    </row>
    <row r="251" spans="1:27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5"/>
      <c r="Z251" s="5"/>
      <c r="AA251" s="5"/>
    </row>
    <row r="252" spans="1:27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5"/>
      <c r="Z252" s="5"/>
      <c r="AA252" s="5"/>
    </row>
    <row r="253" spans="1:27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5"/>
      <c r="Z253" s="5"/>
      <c r="AA253" s="5"/>
    </row>
    <row r="254" spans="1:27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5"/>
      <c r="Z254" s="5"/>
      <c r="AA254" s="5"/>
    </row>
    <row r="255" spans="1:27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5"/>
      <c r="Z255" s="5"/>
      <c r="AA255" s="5"/>
    </row>
    <row r="256" spans="1:27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5"/>
      <c r="Z256" s="5"/>
      <c r="AA256" s="5"/>
    </row>
    <row r="257" spans="1:27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5"/>
      <c r="Z257" s="5"/>
      <c r="AA257" s="5"/>
    </row>
    <row r="258" spans="1:27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5"/>
      <c r="Z258" s="5"/>
      <c r="AA258" s="5"/>
    </row>
    <row r="259" spans="1:27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5"/>
      <c r="Z259" s="5"/>
      <c r="AA259" s="5"/>
    </row>
    <row r="260" spans="1:27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5"/>
      <c r="Z260" s="5"/>
      <c r="AA260" s="5"/>
    </row>
    <row r="261" spans="1:27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5"/>
      <c r="Z261" s="5"/>
      <c r="AA261" s="5"/>
    </row>
    <row r="262" spans="1:27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5"/>
      <c r="Z262" s="5"/>
      <c r="AA262" s="5"/>
    </row>
    <row r="263" spans="1:27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5"/>
      <c r="Z263" s="5"/>
      <c r="AA263" s="5"/>
    </row>
    <row r="264" spans="1:27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5"/>
      <c r="Z264" s="5"/>
      <c r="AA264" s="5"/>
    </row>
    <row r="265" spans="1:27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5"/>
      <c r="Z265" s="5"/>
      <c r="AA265" s="5"/>
    </row>
    <row r="266" spans="1:27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5"/>
      <c r="Z266" s="5"/>
      <c r="AA266" s="5"/>
    </row>
    <row r="267" spans="1:27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5"/>
      <c r="Z267" s="5"/>
      <c r="AA267" s="5"/>
    </row>
    <row r="268" spans="1:27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5"/>
      <c r="Z268" s="5"/>
      <c r="AA268" s="5"/>
    </row>
    <row r="269" spans="1:27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5"/>
      <c r="Z269" s="5"/>
      <c r="AA269" s="5"/>
    </row>
    <row r="270" spans="1:27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5"/>
      <c r="Z270" s="5"/>
      <c r="AA270" s="5"/>
    </row>
    <row r="271" spans="1:27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5"/>
      <c r="Z271" s="5"/>
      <c r="AA271" s="5"/>
    </row>
    <row r="272" spans="1:27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5"/>
      <c r="Z272" s="5"/>
      <c r="AA272" s="5"/>
    </row>
    <row r="273" spans="1:27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5"/>
      <c r="Z273" s="5"/>
      <c r="AA273" s="5"/>
    </row>
    <row r="274" spans="1:27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5"/>
      <c r="Z274" s="5"/>
      <c r="AA274" s="5"/>
    </row>
    <row r="275" spans="1:27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5"/>
      <c r="Z275" s="5"/>
      <c r="AA275" s="5"/>
    </row>
    <row r="276" spans="1:27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5"/>
      <c r="Z276" s="5"/>
      <c r="AA276" s="5"/>
    </row>
    <row r="277" spans="1:27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5"/>
      <c r="Z277" s="5"/>
      <c r="AA277" s="5"/>
    </row>
    <row r="278" spans="1:27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5"/>
      <c r="Z278" s="5"/>
      <c r="AA278" s="5"/>
    </row>
    <row r="279" spans="1:27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5"/>
      <c r="Z279" s="5"/>
      <c r="AA279" s="5"/>
    </row>
    <row r="280" spans="1:27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5"/>
      <c r="Z280" s="5"/>
      <c r="AA280" s="5"/>
    </row>
    <row r="281" spans="1:27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5"/>
      <c r="Z281" s="5"/>
      <c r="AA281" s="5"/>
    </row>
    <row r="282" spans="1:27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5"/>
      <c r="Z282" s="5"/>
      <c r="AA282" s="5"/>
    </row>
    <row r="283" spans="1:27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5"/>
      <c r="Z283" s="5"/>
      <c r="AA283" s="5"/>
    </row>
    <row r="284" spans="1:27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5"/>
      <c r="Z284" s="5"/>
      <c r="AA284" s="5"/>
    </row>
    <row r="285" spans="1:27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5"/>
      <c r="Z285" s="5"/>
      <c r="AA285" s="5"/>
    </row>
    <row r="286" spans="1:27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5"/>
      <c r="Z286" s="5"/>
      <c r="AA286" s="5"/>
    </row>
    <row r="287" spans="1:27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5"/>
      <c r="Z287" s="5"/>
      <c r="AA287" s="5"/>
    </row>
    <row r="288" spans="1:27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5"/>
      <c r="Z288" s="5"/>
      <c r="AA288" s="5"/>
    </row>
    <row r="289" spans="1:27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5"/>
      <c r="Z289" s="5"/>
      <c r="AA289" s="5"/>
    </row>
    <row r="290" spans="1:27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5"/>
      <c r="Z290" s="5"/>
      <c r="AA290" s="5"/>
    </row>
    <row r="291" spans="1:27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5"/>
      <c r="Z291" s="5"/>
      <c r="AA291" s="5"/>
    </row>
    <row r="292" spans="1:27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5"/>
      <c r="Z292" s="5"/>
      <c r="AA292" s="5"/>
    </row>
    <row r="293" spans="1:27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5"/>
      <c r="Z293" s="5"/>
      <c r="AA293" s="5"/>
    </row>
    <row r="294" spans="1:27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5"/>
      <c r="Z294" s="5"/>
      <c r="AA294" s="5"/>
    </row>
    <row r="295" spans="1:27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5"/>
      <c r="Z295" s="5"/>
      <c r="AA295" s="5"/>
    </row>
    <row r="296" spans="1:27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5"/>
      <c r="Z296" s="5"/>
      <c r="AA296" s="5"/>
    </row>
    <row r="297" spans="1:27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5"/>
      <c r="Z297" s="5"/>
      <c r="AA297" s="5"/>
    </row>
    <row r="298" spans="1:27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5"/>
      <c r="Z298" s="5"/>
      <c r="AA298" s="5"/>
    </row>
    <row r="299" spans="1:27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5"/>
      <c r="Z299" s="5"/>
      <c r="AA299" s="5"/>
    </row>
    <row r="300" spans="1:27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7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7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7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7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</sheetData>
  <mergeCells count="10">
    <mergeCell ref="AU2:AV2"/>
    <mergeCell ref="A1:Y1"/>
    <mergeCell ref="AB1:AV1"/>
    <mergeCell ref="G2:L2"/>
    <mergeCell ref="N2:S2"/>
    <mergeCell ref="U2:V2"/>
    <mergeCell ref="X2:Y2"/>
    <mergeCell ref="AD2:AI2"/>
    <mergeCell ref="AK2:AP2"/>
    <mergeCell ref="AR2:AS2"/>
  </mergeCells>
  <pageMargins left="0.7" right="0.7" top="0.75" bottom="0.75" header="0" footer="0"/>
  <pageSetup orientation="landscape" r:id="rId1"/>
  <ignoredErrors>
    <ignoredError sqref="H3:W3 AB3 AC3:AN3 X3:AA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ADVANCED</vt:lpstr>
      <vt:lpstr>SHOOTING</vt:lpstr>
      <vt:lpstr>SHOOTING OPPONENT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2026-09-09T07:53:39Z</dcterms:modified>
</cp:coreProperties>
</file>